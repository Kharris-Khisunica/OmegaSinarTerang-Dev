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ocuments\"/>
    </mc:Choice>
  </mc:AlternateContent>
  <xr:revisionPtr revIDLastSave="0" documentId="8_{0692C768-65A2-4DF8-ADA9-1BA14E74EA84}" xr6:coauthVersionLast="47" xr6:coauthVersionMax="47" xr10:uidLastSave="{00000000-0000-0000-0000-000000000000}"/>
  <bookViews>
    <workbookView xWindow="-108" yWindow="-108" windowWidth="23256" windowHeight="12456" xr2:uid="{2B0E796F-B57F-43AC-8598-68CCB49FB4C1}"/>
  </bookViews>
  <sheets>
    <sheet name="JUL26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76" i="1" l="1"/>
  <c r="C168" i="1"/>
  <c r="C167" i="1"/>
  <c r="E152" i="1"/>
  <c r="E151" i="1"/>
  <c r="E150" i="1"/>
  <c r="C149" i="1"/>
  <c r="C148" i="1"/>
  <c r="C156" i="1" s="1"/>
  <c r="C147" i="1"/>
  <c r="C146" i="1"/>
  <c r="C141" i="1"/>
  <c r="C140" i="1"/>
  <c r="C138" i="1"/>
  <c r="C137" i="1"/>
  <c r="C136" i="1"/>
  <c r="C135" i="1"/>
  <c r="C134" i="1"/>
  <c r="C143" i="1" s="1"/>
  <c r="C132" i="1"/>
  <c r="E131" i="1"/>
  <c r="C130" i="1"/>
  <c r="C177" i="1" s="1"/>
  <c r="C118" i="1"/>
  <c r="C126" i="1" s="1"/>
  <c r="C117" i="1"/>
  <c r="C125" i="1" s="1"/>
  <c r="C116" i="1"/>
  <c r="C124" i="1" s="1"/>
  <c r="C127" i="1" s="1"/>
  <c r="E133" i="1" s="1"/>
  <c r="E135" i="1" s="1"/>
  <c r="C115" i="1"/>
  <c r="C113" i="1"/>
  <c r="C111" i="1"/>
  <c r="C110" i="1"/>
  <c r="D119" i="1" s="1"/>
  <c r="H105" i="1"/>
  <c r="C105" i="1"/>
  <c r="D106" i="1" s="1"/>
  <c r="H102" i="1"/>
  <c r="H98" i="1"/>
  <c r="H97" i="1"/>
  <c r="J113" i="1" s="1"/>
  <c r="C97" i="1"/>
  <c r="C96" i="1"/>
  <c r="C95" i="1"/>
  <c r="J94" i="1"/>
  <c r="C87" i="1"/>
  <c r="D86" i="1"/>
  <c r="C86" i="1"/>
  <c r="C84" i="1"/>
  <c r="D99" i="1" s="1"/>
  <c r="C81" i="1"/>
  <c r="D82" i="1" s="1"/>
  <c r="B81" i="1"/>
  <c r="H80" i="1"/>
  <c r="H79" i="1"/>
  <c r="H77" i="1"/>
  <c r="I84" i="1" s="1"/>
  <c r="C74" i="1"/>
  <c r="C73" i="1"/>
  <c r="C72" i="1"/>
  <c r="D76" i="1" s="1"/>
  <c r="H68" i="1"/>
  <c r="I73" i="1" s="1"/>
  <c r="J86" i="1" s="1"/>
  <c r="C68" i="1"/>
  <c r="D69" i="1" s="1"/>
  <c r="C67" i="1"/>
  <c r="C53" i="1"/>
  <c r="C52" i="1"/>
  <c r="C51" i="1"/>
  <c r="C50" i="1"/>
  <c r="C49" i="1"/>
  <c r="C48" i="1"/>
  <c r="C57" i="1" s="1"/>
  <c r="C47" i="1"/>
  <c r="C42" i="1"/>
  <c r="C40" i="1"/>
  <c r="C39" i="1"/>
  <c r="C38" i="1"/>
  <c r="C30" i="1"/>
  <c r="C29" i="1"/>
  <c r="C28" i="1"/>
  <c r="C27" i="1"/>
  <c r="C26" i="1"/>
  <c r="C25" i="1"/>
  <c r="C44" i="1" s="1"/>
  <c r="D59" i="1" s="1"/>
  <c r="C20" i="1"/>
  <c r="C16" i="1"/>
  <c r="C14" i="1"/>
  <c r="C12" i="1"/>
  <c r="C10" i="1"/>
  <c r="C6" i="1"/>
  <c r="D21" i="1" s="1"/>
  <c r="D61" i="1" l="1"/>
  <c r="D121" i="1"/>
  <c r="L119" i="1" s="1"/>
  <c r="J121" i="1"/>
  <c r="E61" i="1" l="1"/>
  <c r="D62" i="1" s="1"/>
  <c r="J123" i="1"/>
  <c r="J124" i="1" s="1"/>
  <c r="K1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B38" authorId="0" shapeId="0" xr:uid="{DC4FE843-994A-498C-AC13-808717561A31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JAN - JUNI LUNAS
TGL 28 JULI - AGST LUNAS</t>
        </r>
      </text>
    </comment>
  </commentList>
</comments>
</file>

<file path=xl/sharedStrings.xml><?xml version="1.0" encoding="utf-8"?>
<sst xmlns="http://schemas.openxmlformats.org/spreadsheetml/2006/main" count="234" uniqueCount="167">
  <si>
    <t>LAPORAN LABA RUGI</t>
  </si>
  <si>
    <t xml:space="preserve">BULAN </t>
  </si>
  <si>
    <t>CHECK VIA LAPORAN BUKU BESAR</t>
  </si>
  <si>
    <t>*</t>
  </si>
  <si>
    <t xml:space="preserve">PENJUALAN </t>
  </si>
  <si>
    <t>INVENTORI AWAL</t>
  </si>
  <si>
    <t xml:space="preserve">PEMBELIAN </t>
  </si>
  <si>
    <t xml:space="preserve">RETUR PEMBELIAN </t>
  </si>
  <si>
    <t>RETUR PEMBELIAN SATUAN</t>
  </si>
  <si>
    <t>RETUR PENJUALAN SATUAN + DISC PENJ</t>
  </si>
  <si>
    <t xml:space="preserve">PERSEDIAAN BRG DG AKHIR </t>
  </si>
  <si>
    <t>PENDAPATAN USAHA LAINNYA  GLOBAL DIGITAL NIA/MOKA</t>
  </si>
  <si>
    <t>LABA  BRUTO</t>
  </si>
  <si>
    <t>BIAYA BIAYA</t>
  </si>
  <si>
    <t>BIAYA OPERASIONAL</t>
  </si>
  <si>
    <t xml:space="preserve"> *BIAYA OPERASIONAL/KAS KECIL (GL)</t>
  </si>
  <si>
    <t>* BIAYA ANGKUT LUAR KOTA</t>
  </si>
  <si>
    <t xml:space="preserve">*BIAYA GAJI EDY VIA CASH /KBK  </t>
  </si>
  <si>
    <t xml:space="preserve">*BIAYA GAJI EDY VIA BANK BCA/ BK </t>
  </si>
  <si>
    <t>* BIAYA ASURANSI JIWA EDY NOV24</t>
  </si>
  <si>
    <t>* BIAYA KOMISI</t>
  </si>
  <si>
    <t>* BIAYA KERAJINAN FIRMAN /THR</t>
  </si>
  <si>
    <t>* BIAYA KERAJINAN ICUNG / THR</t>
  </si>
  <si>
    <t>* BIAYA KEHADIRAN ATOY /THR</t>
  </si>
  <si>
    <t>* BIAYA GAJI BULANAN ZEBY</t>
  </si>
  <si>
    <t xml:space="preserve">* BIAYA GAJI BULANAN ANDIN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</si>
  <si>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</si>
  <si>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* BIAYA GAJI QORY</t>
  </si>
  <si>
    <t>* BIAYA PAJAK OKT NOV25 @ 1.5JT</t>
  </si>
  <si>
    <t>* BIAYA KONSULTAN PAJAK+PEMBUKUAN  @ 500.000 @700.000</t>
  </si>
  <si>
    <t>JUNI</t>
  </si>
  <si>
    <t>* BIAYA IPL APARTEMEN</t>
  </si>
  <si>
    <t>* BIAYA LISTRIK</t>
  </si>
  <si>
    <t>* BIAYA PERGAULAN</t>
  </si>
  <si>
    <t>* BIAYA SPAREPART</t>
  </si>
  <si>
    <t xml:space="preserve"> </t>
  </si>
  <si>
    <t>JUMLAH</t>
  </si>
  <si>
    <t>BIAYA ADMINISTRASI DAN UMUM</t>
  </si>
  <si>
    <t>* BIAYA KOMISI PINJAMAN ATEK (30/12)</t>
  </si>
  <si>
    <t>* BIAYA BUNGA PINJAMAN BSI CICILAN KE 9 (25 SETIAP BULAN)</t>
  </si>
  <si>
    <t xml:space="preserve"> * KARTU KREDIT PERMATA </t>
  </si>
  <si>
    <t xml:space="preserve"> * KARTU KREDIT MEGA </t>
  </si>
  <si>
    <t>* BIAYA ADMINISTRASI BANK BCA</t>
  </si>
  <si>
    <t>* BIAYA ADMINISTRASI BANK  BSI</t>
  </si>
  <si>
    <t>* PERPULUHAN JUNI DAN JULI</t>
  </si>
  <si>
    <t>* BIAYA CG</t>
  </si>
  <si>
    <t>* BIAYA PAJAK</t>
  </si>
  <si>
    <t>* PENDAPATAN BUNGA ( ingat ditambah)</t>
  </si>
  <si>
    <t>TOTAL BIAYA</t>
  </si>
  <si>
    <t>`</t>
  </si>
  <si>
    <t>LABA NETTO</t>
  </si>
  <si>
    <t>NERACA 31 JULI 2026</t>
  </si>
  <si>
    <t>AKTIVA LANCAR</t>
  </si>
  <si>
    <t>PASSIVA</t>
  </si>
  <si>
    <t>HUTANG LANCAR</t>
  </si>
  <si>
    <t>NO BON PEMB</t>
  </si>
  <si>
    <t xml:space="preserve"> KAS BESAR </t>
  </si>
  <si>
    <t>KAS KECIL</t>
  </si>
  <si>
    <t>HUTANG TOKO JESSINDO</t>
  </si>
  <si>
    <t>HUTANG SUSU ENAK</t>
  </si>
  <si>
    <t>HUTANG LICHIN GAJI</t>
  </si>
  <si>
    <t xml:space="preserve">BANK BCA EDY KASIM </t>
  </si>
  <si>
    <t>BANK BSI EDY KASIM DANA YANG BS DIPAKAI</t>
  </si>
  <si>
    <t>JUMLAH HTG LANCAR</t>
  </si>
  <si>
    <t xml:space="preserve">BANK BSI ASMIATI </t>
  </si>
  <si>
    <t>HUTANG JANGKA PANJANG</t>
  </si>
  <si>
    <t>HUTANG LICHIN MANDIRI 1</t>
  </si>
  <si>
    <t>HUTANG LEO (30/12/22)</t>
  </si>
  <si>
    <t>HUTANG BSI (25 SEPT 2025 - 2035)</t>
  </si>
  <si>
    <t>9X</t>
  </si>
  <si>
    <t>HUTANG AFANG (2/6/26)</t>
  </si>
  <si>
    <t>HUTANG MAMA (3/6'26)</t>
  </si>
  <si>
    <t>PEMBELIAN DIBAYAR DIMUKA FERRY</t>
  </si>
  <si>
    <t>JUMLAH HTG JK PJG</t>
  </si>
  <si>
    <t>PIUTANG DADAM 17/6</t>
  </si>
  <si>
    <t>PIUTANG TIGA SEKAWAN CIBEBER JULY 30</t>
  </si>
  <si>
    <t>TOTAL HUTANG</t>
  </si>
  <si>
    <t>PIUTANG TIGA SEKAWAN CIPANAS JULY 25</t>
  </si>
  <si>
    <t>PIUTANG SYAMSUL JULY 27</t>
  </si>
  <si>
    <t>PIUTANG ZIA JULY 25</t>
  </si>
  <si>
    <t>PIUTANG TRIYANTO</t>
  </si>
  <si>
    <t>MODAL DAN LABA RUGI</t>
  </si>
  <si>
    <t>PIUTANG IMAS JULY 9</t>
  </si>
  <si>
    <t>MODAL AWAL</t>
  </si>
  <si>
    <t>PIUTANG AJANG 25</t>
  </si>
  <si>
    <t>PIUTANG SHANGHAI</t>
  </si>
  <si>
    <t>TOTAL MODAL</t>
  </si>
  <si>
    <t>PIUTANG KARYAWAN ICUNG</t>
  </si>
  <si>
    <t xml:space="preserve">PIUTANG KARYAWAN FIRMAN  </t>
  </si>
  <si>
    <t>PIUTANG LICHIN TUKAR CASH</t>
  </si>
  <si>
    <t>LABA RUGI DITAHAN 2022</t>
  </si>
  <si>
    <t>LABA RUGI DITAHAN 2023</t>
  </si>
  <si>
    <t>LABA RUGI DITAHAN 2024</t>
  </si>
  <si>
    <t>LABA RUGI DITAHAN 2025</t>
  </si>
  <si>
    <t>LEMARI KITCHEN SET</t>
  </si>
  <si>
    <t>LABA RUGI BULAN JAN</t>
  </si>
  <si>
    <t>NINJA SUZUKI KAWASAKI 16/7/23</t>
  </si>
  <si>
    <t>LABA RUGI BULAN FEB</t>
  </si>
  <si>
    <t>UMPLUNG MITSUBISHI 23/6/24 D-8327TD</t>
  </si>
  <si>
    <t>LABA RUGI BULAN MAR</t>
  </si>
  <si>
    <t>ENGKEL MITSUBISHI 14/7/23 F-8746SR</t>
  </si>
  <si>
    <t>LABA RUGI BULAN APR</t>
  </si>
  <si>
    <t>PICK UP MITSUBISHI 13/1/23</t>
  </si>
  <si>
    <t>LABA RUGI BULAN MEI</t>
  </si>
  <si>
    <t>LABA RUGI BULAN JUNI</t>
  </si>
  <si>
    <t>LABA RUGI BULAN JULI</t>
  </si>
  <si>
    <t>KOMPUTER UNTUK ADMIN 26/9/23</t>
  </si>
  <si>
    <t>LABA RUGI BULAN AGUSTUS</t>
  </si>
  <si>
    <t>MESIN FINGER PRINT ABSENSI</t>
  </si>
  <si>
    <t>LABA RUGI BULAN SEPTEMBER</t>
  </si>
  <si>
    <t>PALLET 3UNIT</t>
  </si>
  <si>
    <t>LABA RUGI BULAN OKTOBER</t>
  </si>
  <si>
    <t>BRANKAS UANG 11/2/23 + 3/9/24</t>
  </si>
  <si>
    <t>LABA RUGI BULAN NOVEMBER</t>
  </si>
  <si>
    <t>MONEY COUNTER SECURE LD-28M 13/2/ 23</t>
  </si>
  <si>
    <t>LABA RUGI BULAN DESEMBER</t>
  </si>
  <si>
    <t>CCTV LG VISION 15/3/23 + 15/9/23 + 19/08/24+2/9/24</t>
  </si>
  <si>
    <t>TOTAL LABA</t>
  </si>
  <si>
    <t>APAR KAPASITAS 4KG CV.RAFI KARYA ABADI</t>
  </si>
  <si>
    <t>BIAYA PERBAIKAN RUMAH TGL 15 OKTOBER 2024+MEI 2025</t>
  </si>
  <si>
    <t>PEMBANGUNAN RUMAH BELAKANG</t>
  </si>
  <si>
    <t>BANGUN RUMAH BELAKANG BAHAN BELI SENDIRI</t>
  </si>
  <si>
    <t>DESIGN BANGUNAN RUMAH</t>
  </si>
  <si>
    <t>LABA RUGI BULAN INI</t>
  </si>
  <si>
    <t>TOTAL AKTIVA</t>
  </si>
  <si>
    <t>TOTAL PASIVA</t>
  </si>
  <si>
    <t>LABA RUGI L/R</t>
  </si>
  <si>
    <t xml:space="preserve">BY KONTRAKTOR BANGUN RUMAH </t>
  </si>
  <si>
    <t>SELISIH</t>
  </si>
  <si>
    <t>BAHAN BELI SENDIRI</t>
  </si>
  <si>
    <t xml:space="preserve">BY DESIGN </t>
  </si>
  <si>
    <t>TOTAL</t>
  </si>
  <si>
    <t>ASUN</t>
  </si>
  <si>
    <t>KACA</t>
  </si>
  <si>
    <t>FEBRUARI 2026 :</t>
  </si>
  <si>
    <t>RAILING</t>
  </si>
  <si>
    <t>ATAP KERAMIK KAMURI</t>
  </si>
  <si>
    <t>SOFA 2 TEMPAT</t>
  </si>
  <si>
    <t>MARET 2026</t>
  </si>
  <si>
    <t>GYPSUM JAYABOARD</t>
  </si>
  <si>
    <t>APRIL 2026</t>
  </si>
  <si>
    <t>TOTAL BANGUN RUMAH</t>
  </si>
  <si>
    <t>CAT DASAR BANDUNG HARTATI APRIL</t>
  </si>
  <si>
    <t>BLM AFUK</t>
  </si>
  <si>
    <t>CAT JOTUN RKM OBJECTIVE DAN CHOCALTE</t>
  </si>
  <si>
    <t>CAT JOTUN CV KARYA PLAFON</t>
  </si>
  <si>
    <t>CAT JOTUN TIMELESS</t>
  </si>
  <si>
    <t>ROSTER</t>
  </si>
  <si>
    <t>SURYADI JUWITA WENA</t>
  </si>
  <si>
    <t>TIMOTY BAHAN LISTRIK BANCEUY</t>
  </si>
  <si>
    <t>WENDY KERAMIK</t>
  </si>
  <si>
    <t>CAT PAFON 1 PAIL +  1 EMBER KECIL</t>
  </si>
  <si>
    <t>MEI 2026</t>
  </si>
  <si>
    <t>PAK ADI WACANA</t>
  </si>
  <si>
    <t>BAHAN LISTRIK</t>
  </si>
  <si>
    <t>INDOGROSIR KLOSET SANDI MAS</t>
  </si>
  <si>
    <t>INDO GROSIR BAHAN PERALATAN RUMAH</t>
  </si>
  <si>
    <t>WENDY GRANIT</t>
  </si>
  <si>
    <t>JUNI 2026</t>
  </si>
  <si>
    <t>QRIS ATM PAYMENT LAMPU LISTRIK BANCEUY</t>
  </si>
  <si>
    <t xml:space="preserve">WASANA KACA </t>
  </si>
  <si>
    <t>QRIS ATM CAT JOTUN</t>
  </si>
  <si>
    <t>CAT JOTUN</t>
  </si>
  <si>
    <t>KERAMIK HITAM TANGGA</t>
  </si>
  <si>
    <t>RETUR KERAMIK</t>
  </si>
  <si>
    <t>PERPULUHAN FEB25</t>
  </si>
  <si>
    <t xml:space="preserve">BY KOMISI MAMA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</si>
</sst>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&quot;* #,##0.00_);_(&quot;$&quot;* \(#,##0.00\);_(&quot;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Calibri"/>
      <family val="2"/>
      <scheme val="minor"/>
    </font>
    <font>
      <sz val="2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/>
      <top style="double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164" fontId="2" fillId="0" borderId="0" xfId="1" applyNumberFormat="1" applyFont="1" applyFill="1"/>
    <xf numFmtId="164" fontId="2" fillId="0" borderId="0" xfId="1" applyNumberFormat="1" applyFont="1" applyFill="1" applyAlignment="1">
      <alignment horizontal="center"/>
    </xf>
    <xf numFmtId="41" fontId="2" fillId="0" borderId="0" xfId="2" applyFont="1" applyFill="1" applyAlignment="1">
      <alignment horizontal="center"/>
    </xf>
    <xf numFmtId="41" fontId="2" fillId="0" borderId="0" xfId="2" applyFont="1" applyFill="1"/>
    <xf numFmtId="1" fontId="2" fillId="0" borderId="0" xfId="0" applyNumberFormat="1" applyFont="1" applyAlignment="1">
      <alignment horizontal="center"/>
    </xf>
    <xf numFmtId="0" fontId="3" fillId="0" borderId="0" xfId="0" applyFont="1"/>
    <xf numFmtId="164" fontId="4" fillId="0" borderId="0" xfId="1" applyNumberFormat="1" applyFont="1" applyFill="1"/>
    <xf numFmtId="164" fontId="3" fillId="0" borderId="0" xfId="1" applyNumberFormat="1" applyFont="1" applyFill="1" applyAlignment="1">
      <alignment horizontal="center"/>
    </xf>
    <xf numFmtId="14" fontId="3" fillId="0" borderId="0" xfId="2" quotePrefix="1" applyNumberFormat="1" applyFont="1" applyFill="1" applyAlignment="1">
      <alignment horizontal="center"/>
    </xf>
    <xf numFmtId="41" fontId="4" fillId="0" borderId="0" xfId="2" applyFont="1" applyFill="1" applyAlignment="1">
      <alignment horizontal="left"/>
    </xf>
    <xf numFmtId="41" fontId="4" fillId="0" borderId="0" xfId="2" applyFont="1" applyFill="1" applyAlignment="1">
      <alignment horizontal="center"/>
    </xf>
    <xf numFmtId="41" fontId="5" fillId="0" borderId="0" xfId="2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1" applyNumberFormat="1" applyFont="1" applyFill="1" applyAlignment="1">
      <alignment horizontal="center"/>
    </xf>
    <xf numFmtId="41" fontId="4" fillId="0" borderId="0" xfId="2" applyFont="1" applyFill="1"/>
    <xf numFmtId="0" fontId="4" fillId="0" borderId="0" xfId="0" applyFont="1"/>
    <xf numFmtId="0" fontId="4" fillId="0" borderId="1" xfId="0" applyFont="1" applyBorder="1"/>
    <xf numFmtId="164" fontId="4" fillId="0" borderId="1" xfId="1" applyNumberFormat="1" applyFont="1" applyFill="1" applyBorder="1"/>
    <xf numFmtId="164" fontId="4" fillId="0" borderId="1" xfId="1" applyNumberFormat="1" applyFont="1" applyFill="1" applyBorder="1" applyAlignment="1">
      <alignment horizontal="center"/>
    </xf>
    <xf numFmtId="41" fontId="4" fillId="0" borderId="1" xfId="2" applyFont="1" applyFill="1" applyBorder="1" applyAlignment="1">
      <alignment horizontal="center"/>
    </xf>
    <xf numFmtId="41" fontId="4" fillId="0" borderId="0" xfId="2" applyFont="1" applyFill="1" applyBorder="1" applyAlignment="1">
      <alignment horizontal="center"/>
    </xf>
    <xf numFmtId="41" fontId="2" fillId="0" borderId="0" xfId="2" applyFont="1" applyFill="1" applyBorder="1" applyAlignment="1">
      <alignment horizontal="center"/>
    </xf>
    <xf numFmtId="164" fontId="2" fillId="0" borderId="0" xfId="1" quotePrefix="1" applyNumberFormat="1" applyFont="1" applyFill="1" applyAlignment="1">
      <alignment horizontal="center"/>
    </xf>
    <xf numFmtId="41" fontId="2" fillId="0" borderId="0" xfId="2" quotePrefix="1" applyFont="1" applyFill="1" applyAlignment="1">
      <alignment horizontal="center"/>
    </xf>
    <xf numFmtId="41" fontId="2" fillId="0" borderId="0" xfId="2" applyFont="1" applyFill="1" applyBorder="1" applyAlignment="1">
      <alignment horizontal="left"/>
    </xf>
    <xf numFmtId="41" fontId="2" fillId="0" borderId="0" xfId="2" applyFont="1" applyFill="1" applyAlignment="1"/>
    <xf numFmtId="41" fontId="2" fillId="0" borderId="0" xfId="2" quotePrefix="1" applyFont="1" applyFill="1" applyAlignment="1">
      <alignment horizontal="left"/>
    </xf>
    <xf numFmtId="13" fontId="2" fillId="0" borderId="0" xfId="2" quotePrefix="1" applyNumberFormat="1" applyFont="1" applyFill="1" applyAlignment="1">
      <alignment horizontal="center"/>
    </xf>
    <xf numFmtId="41" fontId="2" fillId="0" borderId="0" xfId="2" quotePrefix="1" applyFont="1" applyFill="1" applyBorder="1" applyAlignment="1">
      <alignment horizontal="center"/>
    </xf>
    <xf numFmtId="164" fontId="6" fillId="0" borderId="0" xfId="1" applyNumberFormat="1" applyFont="1" applyFill="1"/>
    <xf numFmtId="164" fontId="6" fillId="0" borderId="2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Fill="1" applyAlignment="1">
      <alignment horizontal="left"/>
    </xf>
    <xf numFmtId="41" fontId="2" fillId="0" borderId="0" xfId="2" applyFont="1" applyFill="1" applyAlignment="1">
      <alignment horizontal="left"/>
    </xf>
    <xf numFmtId="164" fontId="2" fillId="0" borderId="2" xfId="1" applyNumberFormat="1" applyFont="1" applyFill="1" applyBorder="1" applyAlignment="1">
      <alignment horizontal="center"/>
    </xf>
    <xf numFmtId="12" fontId="2" fillId="0" borderId="0" xfId="2" applyNumberFormat="1" applyFont="1" applyFill="1" applyAlignment="1">
      <alignment horizontal="center"/>
    </xf>
    <xf numFmtId="41" fontId="2" fillId="0" borderId="2" xfId="2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1" applyNumberFormat="1" applyFont="1" applyFill="1" applyAlignment="1">
      <alignment horizontal="right"/>
    </xf>
    <xf numFmtId="41" fontId="7" fillId="0" borderId="0" xfId="2" applyFont="1" applyFill="1" applyAlignment="1">
      <alignment horizontal="center"/>
    </xf>
    <xf numFmtId="41" fontId="8" fillId="0" borderId="0" xfId="2" applyFont="1" applyFill="1" applyAlignment="1">
      <alignment horizontal="right"/>
    </xf>
    <xf numFmtId="0" fontId="9" fillId="0" borderId="1" xfId="0" applyFont="1" applyBorder="1" applyAlignment="1">
      <alignment horizontal="center"/>
    </xf>
    <xf numFmtId="0" fontId="10" fillId="0" borderId="1" xfId="0" applyFont="1" applyBorder="1"/>
    <xf numFmtId="41" fontId="10" fillId="0" borderId="0" xfId="2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41" fontId="8" fillId="0" borderId="0" xfId="2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" fontId="5" fillId="0" borderId="6" xfId="0" applyNumberFormat="1" applyFont="1" applyBorder="1" applyAlignment="1">
      <alignment horizontal="left"/>
    </xf>
    <xf numFmtId="41" fontId="5" fillId="0" borderId="0" xfId="2" applyFont="1" applyFill="1" applyBorder="1" applyAlignment="1">
      <alignment horizontal="left"/>
    </xf>
    <xf numFmtId="164" fontId="2" fillId="2" borderId="0" xfId="1" applyNumberFormat="1" applyFont="1" applyFill="1" applyAlignment="1">
      <alignment horizontal="center"/>
    </xf>
    <xf numFmtId="164" fontId="2" fillId="0" borderId="6" xfId="1" applyNumberFormat="1" applyFont="1" applyFill="1" applyBorder="1" applyAlignment="1">
      <alignment horizontal="left"/>
    </xf>
    <xf numFmtId="164" fontId="2" fillId="0" borderId="0" xfId="0" applyNumberFormat="1" applyFont="1"/>
    <xf numFmtId="164" fontId="2" fillId="2" borderId="7" xfId="1" applyNumberFormat="1" applyFont="1" applyFill="1" applyBorder="1" applyAlignment="1">
      <alignment horizontal="center"/>
    </xf>
    <xf numFmtId="41" fontId="12" fillId="0" borderId="0" xfId="4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left"/>
    </xf>
    <xf numFmtId="41" fontId="2" fillId="0" borderId="0" xfId="2" applyFont="1" applyFill="1" applyBorder="1"/>
    <xf numFmtId="164" fontId="2" fillId="0" borderId="8" xfId="1" applyNumberFormat="1" applyFont="1" applyFill="1" applyBorder="1" applyAlignment="1">
      <alignment horizontal="center"/>
    </xf>
    <xf numFmtId="164" fontId="5" fillId="0" borderId="6" xfId="1" applyNumberFormat="1" applyFont="1" applyFill="1" applyBorder="1" applyAlignment="1">
      <alignment horizontal="left"/>
    </xf>
    <xf numFmtId="164" fontId="2" fillId="0" borderId="7" xfId="1" applyNumberFormat="1" applyFont="1" applyFill="1" applyBorder="1" applyAlignment="1">
      <alignment horizontal="center"/>
    </xf>
    <xf numFmtId="41" fontId="2" fillId="0" borderId="6" xfId="2" applyFont="1" applyFill="1" applyBorder="1" applyAlignment="1">
      <alignment horizontal="left"/>
    </xf>
    <xf numFmtId="41" fontId="2" fillId="0" borderId="7" xfId="2" applyFont="1" applyFill="1" applyBorder="1"/>
    <xf numFmtId="164" fontId="2" fillId="0" borderId="6" xfId="1" applyNumberFormat="1" applyFont="1" applyFill="1" applyBorder="1" applyAlignment="1">
      <alignment horizontal="center"/>
    </xf>
    <xf numFmtId="41" fontId="2" fillId="0" borderId="7" xfId="2" applyFont="1" applyFill="1" applyBorder="1" applyAlignment="1">
      <alignment horizontal="center"/>
    </xf>
    <xf numFmtId="41" fontId="2" fillId="0" borderId="6" xfId="2" applyFont="1" applyFill="1" applyBorder="1" applyAlignment="1">
      <alignment horizontal="center"/>
    </xf>
    <xf numFmtId="12" fontId="2" fillId="0" borderId="0" xfId="2" quotePrefix="1" applyNumberFormat="1" applyFont="1" applyFill="1" applyAlignment="1">
      <alignment horizontal="center"/>
    </xf>
    <xf numFmtId="41" fontId="2" fillId="0" borderId="0" xfId="0" applyNumberFormat="1" applyFont="1"/>
    <xf numFmtId="0" fontId="2" fillId="0" borderId="6" xfId="0" applyFont="1" applyBorder="1"/>
    <xf numFmtId="41" fontId="2" fillId="0" borderId="0" xfId="2" applyFont="1" applyFill="1" applyAlignment="1">
      <alignment horizontal="right"/>
    </xf>
    <xf numFmtId="1" fontId="2" fillId="0" borderId="0" xfId="0" quotePrefix="1" applyNumberFormat="1" applyFont="1" applyAlignment="1">
      <alignment horizontal="left"/>
    </xf>
    <xf numFmtId="164" fontId="2" fillId="0" borderId="0" xfId="1" quotePrefix="1" applyNumberFormat="1" applyFont="1" applyFill="1" applyBorder="1" applyAlignment="1">
      <alignment horizontal="center"/>
    </xf>
    <xf numFmtId="1" fontId="2" fillId="0" borderId="0" xfId="0" quotePrefix="1" applyNumberFormat="1" applyFont="1" applyAlignment="1">
      <alignment horizontal="center"/>
    </xf>
    <xf numFmtId="164" fontId="2" fillId="0" borderId="0" xfId="0" quotePrefix="1" applyNumberFormat="1" applyFont="1"/>
    <xf numFmtId="164" fontId="2" fillId="0" borderId="0" xfId="3" applyNumberFormat="1" applyFont="1" applyFill="1"/>
    <xf numFmtId="164" fontId="0" fillId="0" borderId="0" xfId="1" applyNumberFormat="1" applyFont="1"/>
    <xf numFmtId="14" fontId="2" fillId="0" borderId="9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5">
    <cellStyle name="Comma" xfId="1" builtinId="3"/>
    <cellStyle name="Comma [0]" xfId="2" builtinId="6"/>
    <cellStyle name="Currency" xfId="3" builtinId="4"/>
    <cellStyle name="Hyperlink" xfId="4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TAHUN%202026.xlsx" TargetMode="External"/><Relationship Id="rId2" Type="http://schemas.openxmlformats.org/officeDocument/2006/relationships/externalLinkPath" Target="file:///C:\Users\Asus\Downloads\TAHUN%202026.xlsx" TargetMode="External"/><Relationship Id="rId1" Type="http://schemas.openxmlformats.org/officeDocument/2006/relationships/externalLinkPath" Target="/Users/Asus/Downloads/TAHUN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CER/Documents/OMEGA%20SINAR%20TERANG/LAPORAN%20KEUANGAN%202024/TAHUN%202025/TAHUN%202025.xlsx" TargetMode="External"/><Relationship Id="rId2" Type="http://schemas.openxmlformats.org/officeDocument/2006/relationships/externalLinkPath" Target="file:///C:\Users\ACER\Documents\OMEGA%20SINAR%20TERANG\LAPORAN%20KEUANGAN%202024\TAHUN%202025\TAHUN%202025.xlsx" TargetMode="External"/><Relationship Id="rId1" Type="http://schemas.openxmlformats.org/officeDocument/2006/relationships/externalLinkPath" Target="/Users/ACER/Documents/OMEGA%20SINAR%20TERANG/LAPORAN%20KEUANGAN%202024/TAHUN%202025/TAHU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26"/>
      <sheetName val="FEB26"/>
      <sheetName val="MAR26"/>
      <sheetName val="APR26"/>
      <sheetName val="MEI26"/>
      <sheetName val="JUN26"/>
      <sheetName val="JUL26"/>
      <sheetName val="KAS BSR "/>
      <sheetName val="BCA"/>
      <sheetName val="BCA (2)"/>
      <sheetName val="BSI EDY"/>
      <sheetName val="BSI EDY (2)"/>
      <sheetName val="GT2"/>
      <sheetName val="PEMBELIAN JAN-MEI26"/>
      <sheetName val="ASURANSI"/>
      <sheetName val="Sheet1"/>
      <sheetName val="Sheet2"/>
      <sheetName val="Sheet3"/>
      <sheetName val="37%"/>
      <sheetName val="42%"/>
      <sheetName val="42% 2"/>
      <sheetName val="MEY"/>
      <sheetName val="UNDANG"/>
    </sheetNames>
    <sheetDataSet>
      <sheetData sheetId="0"/>
      <sheetData sheetId="1">
        <row r="118">
          <cell r="C118">
            <v>17377200</v>
          </cell>
        </row>
      </sheetData>
      <sheetData sheetId="2"/>
      <sheetData sheetId="3"/>
      <sheetData sheetId="4"/>
      <sheetData sheetId="5"/>
      <sheetData sheetId="6"/>
      <sheetData sheetId="7">
        <row r="1369">
          <cell r="E1369">
            <v>3686500</v>
          </cell>
          <cell r="F1369">
            <v>0</v>
          </cell>
          <cell r="N1369">
            <v>212798500</v>
          </cell>
        </row>
      </sheetData>
      <sheetData sheetId="8">
        <row r="631">
          <cell r="J631">
            <v>5074000</v>
          </cell>
        </row>
        <row r="634">
          <cell r="G634">
            <v>1700000</v>
          </cell>
        </row>
        <row r="646">
          <cell r="J646">
            <v>18580000</v>
          </cell>
        </row>
        <row r="667">
          <cell r="P667">
            <v>1958000</v>
          </cell>
        </row>
        <row r="674">
          <cell r="M674">
            <v>2129126</v>
          </cell>
        </row>
        <row r="685">
          <cell r="M685">
            <v>1101117</v>
          </cell>
        </row>
        <row r="727">
          <cell r="E727">
            <v>45063.909999999996</v>
          </cell>
          <cell r="F727">
            <v>14340700</v>
          </cell>
          <cell r="H727">
            <v>1000000</v>
          </cell>
          <cell r="I727">
            <v>693000</v>
          </cell>
          <cell r="K727">
            <v>2000000</v>
          </cell>
          <cell r="Q727">
            <v>285898110.13999999</v>
          </cell>
        </row>
      </sheetData>
      <sheetData sheetId="9"/>
      <sheetData sheetId="10">
        <row r="94">
          <cell r="G94">
            <v>7303663</v>
          </cell>
        </row>
        <row r="105">
          <cell r="F105">
            <v>200000000</v>
          </cell>
        </row>
        <row r="114">
          <cell r="F114">
            <v>1000000</v>
          </cell>
        </row>
        <row r="115">
          <cell r="F115">
            <v>16377200</v>
          </cell>
        </row>
        <row r="123">
          <cell r="G123">
            <v>7367570</v>
          </cell>
        </row>
        <row r="139">
          <cell r="F139">
            <v>125000000</v>
          </cell>
        </row>
        <row r="140">
          <cell r="G140">
            <v>7432036</v>
          </cell>
        </row>
        <row r="145">
          <cell r="F145">
            <v>11611000</v>
          </cell>
        </row>
        <row r="158">
          <cell r="F158">
            <v>2841000</v>
          </cell>
        </row>
        <row r="159">
          <cell r="F159">
            <v>6641380</v>
          </cell>
        </row>
        <row r="160">
          <cell r="F160">
            <v>1622000</v>
          </cell>
        </row>
        <row r="161">
          <cell r="F161">
            <v>44996100</v>
          </cell>
        </row>
        <row r="162">
          <cell r="F162">
            <v>10900000</v>
          </cell>
        </row>
        <row r="163">
          <cell r="F163">
            <v>258000</v>
          </cell>
        </row>
        <row r="165">
          <cell r="F165">
            <v>524000</v>
          </cell>
        </row>
        <row r="166">
          <cell r="F166">
            <v>65500</v>
          </cell>
        </row>
        <row r="167">
          <cell r="F167">
            <v>2005000</v>
          </cell>
        </row>
        <row r="168">
          <cell r="G168">
            <v>7497067</v>
          </cell>
        </row>
        <row r="175">
          <cell r="F175">
            <v>114422980</v>
          </cell>
        </row>
        <row r="183">
          <cell r="F183">
            <v>50000000</v>
          </cell>
        </row>
        <row r="184">
          <cell r="F184">
            <v>295000</v>
          </cell>
        </row>
        <row r="186">
          <cell r="F186">
            <v>100000000</v>
          </cell>
        </row>
        <row r="187">
          <cell r="F187">
            <v>2258240</v>
          </cell>
        </row>
        <row r="188">
          <cell r="F188">
            <v>56854430</v>
          </cell>
        </row>
        <row r="189">
          <cell r="F189">
            <v>60000000</v>
          </cell>
        </row>
        <row r="190">
          <cell r="G190">
            <v>7562667</v>
          </cell>
        </row>
        <row r="193">
          <cell r="F193">
            <v>20408500</v>
          </cell>
        </row>
        <row r="194">
          <cell r="F194">
            <v>2975000</v>
          </cell>
        </row>
        <row r="195">
          <cell r="F195">
            <v>1796000</v>
          </cell>
        </row>
        <row r="213">
          <cell r="G213">
            <v>7628840</v>
          </cell>
        </row>
        <row r="217">
          <cell r="F217">
            <v>50000000</v>
          </cell>
        </row>
        <row r="221">
          <cell r="K221">
            <v>855855</v>
          </cell>
        </row>
        <row r="223">
          <cell r="F223">
            <v>106482343</v>
          </cell>
        </row>
        <row r="240">
          <cell r="G240">
            <v>7695592</v>
          </cell>
        </row>
        <row r="241">
          <cell r="G241">
            <v>12544657</v>
          </cell>
        </row>
        <row r="247">
          <cell r="E247">
            <v>16000</v>
          </cell>
          <cell r="F247">
            <v>101848500</v>
          </cell>
        </row>
        <row r="249">
          <cell r="L249">
            <v>29533917.929999933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25"/>
      <sheetName val="FEB25"/>
      <sheetName val="MAR25"/>
      <sheetName val="APR25"/>
      <sheetName val="MEI25"/>
      <sheetName val="JUN25 "/>
      <sheetName val="JUL25 "/>
      <sheetName val="AGS25"/>
      <sheetName val="SEPT25"/>
      <sheetName val="OKT25"/>
      <sheetName val="NOV25"/>
      <sheetName val="DES25"/>
      <sheetName val="PEMBELIAN"/>
      <sheetName val="BCA"/>
      <sheetName val="BSI EDY"/>
      <sheetName val="KAS BSR "/>
      <sheetName val="STOCK"/>
      <sheetName val="REKAP OMZ"/>
      <sheetName val="BCA SUM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459">
          <cell r="I1459">
            <v>54400000</v>
          </cell>
        </row>
        <row r="1555">
          <cell r="I1555">
            <v>100000000</v>
          </cell>
        </row>
      </sheetData>
      <sheetData sheetId="14">
        <row r="35">
          <cell r="F35">
            <v>25000000</v>
          </cell>
        </row>
        <row r="45">
          <cell r="G45">
            <v>7177508</v>
          </cell>
        </row>
        <row r="66">
          <cell r="G66">
            <v>7240310</v>
          </cell>
        </row>
        <row r="75">
          <cell r="F75">
            <v>100000000</v>
          </cell>
        </row>
      </sheetData>
      <sheetData sheetId="15">
        <row r="498">
          <cell r="F498">
            <v>300000</v>
          </cell>
        </row>
      </sheetData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AEBE-FAE9-4CB5-86A2-4D7BFC1BF873}">
  <sheetPr>
    <tabColor rgb="FF7030A0"/>
    <pageSetUpPr fitToPage="1"/>
  </sheetPr>
  <dimension ref="A1:AQ576"/>
  <sheetViews>
    <sheetView tabSelected="1" zoomScale="85" zoomScaleNormal="85" workbookViewId="0">
      <selection activeCell="F22" sqref="F22"/>
    </sheetView>
  </sheetViews>
  <sheetFormatPr defaultColWidth="8.77734375" defaultRowHeight="14.4" outlineLevelRow="3" x14ac:dyDescent="0.3"/>
  <cols>
    <col min="1" max="1" width="4.5546875" style="1" customWidth="1"/>
    <col min="2" max="2" width="56.21875" style="1" bestFit="1" customWidth="1"/>
    <col min="3" max="3" width="14.21875" style="3" customWidth="1"/>
    <col min="4" max="4" width="19.44140625" style="4" customWidth="1"/>
    <col min="5" max="5" width="14.77734375" style="4" customWidth="1"/>
    <col min="6" max="6" width="37.6640625" style="4" customWidth="1"/>
    <col min="7" max="7" width="14.109375" style="4" customWidth="1"/>
    <col min="8" max="8" width="20.77734375" style="4" customWidth="1"/>
    <col min="9" max="9" width="14.109375" style="4" customWidth="1"/>
    <col min="10" max="10" width="14.77734375" style="4" bestFit="1" customWidth="1"/>
    <col min="11" max="11" width="14.21875" style="4" bestFit="1" customWidth="1"/>
    <col min="12" max="12" width="14.21875" style="6" bestFit="1" customWidth="1"/>
    <col min="13" max="13" width="12.5546875" style="4" bestFit="1" customWidth="1"/>
    <col min="14" max="14" width="6.77734375" style="3" customWidth="1"/>
    <col min="15" max="15" width="8.77734375" style="5" customWidth="1"/>
    <col min="16" max="16" width="14.21875" style="4" customWidth="1"/>
    <col min="17" max="18" width="8.109375" style="4" customWidth="1"/>
    <col min="19" max="23" width="8.21875" style="4" customWidth="1"/>
    <col min="24" max="26" width="8.33203125" style="4" customWidth="1"/>
    <col min="27" max="27" width="12.109375" style="4" bestFit="1" customWidth="1"/>
    <col min="28" max="42" width="7.6640625" style="4" customWidth="1"/>
    <col min="43" max="45" width="7.6640625" style="1" customWidth="1"/>
    <col min="46" max="16384" width="8.77734375" style="1"/>
  </cols>
  <sheetData>
    <row r="1" spans="1:43" x14ac:dyDescent="0.3">
      <c r="B1" s="2"/>
      <c r="L1" s="3"/>
    </row>
    <row r="2" spans="1:43" x14ac:dyDescent="0.3">
      <c r="B2" s="2"/>
    </row>
    <row r="3" spans="1:43" s="17" customFormat="1" ht="25.8" x14ac:dyDescent="0.5">
      <c r="A3" s="7" t="s">
        <v>0</v>
      </c>
      <c r="B3" s="8"/>
      <c r="C3" s="9" t="s">
        <v>1</v>
      </c>
      <c r="D3" s="10">
        <v>46234</v>
      </c>
      <c r="E3" s="11" t="s">
        <v>2</v>
      </c>
      <c r="F3" s="12"/>
      <c r="G3" s="12"/>
      <c r="H3" s="12"/>
      <c r="I3" s="13"/>
      <c r="J3" s="12"/>
      <c r="K3" s="12"/>
      <c r="L3" s="14"/>
      <c r="M3" s="12"/>
      <c r="N3" s="15"/>
      <c r="O3" s="16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</row>
    <row r="4" spans="1:43" s="17" customFormat="1" ht="4.2" customHeight="1" thickBot="1" x14ac:dyDescent="0.55000000000000004">
      <c r="A4" s="18"/>
      <c r="B4" s="19"/>
      <c r="C4" s="20"/>
      <c r="D4" s="21"/>
      <c r="E4" s="22"/>
      <c r="F4" s="22"/>
      <c r="G4" s="22"/>
      <c r="H4" s="22"/>
      <c r="I4" s="22"/>
      <c r="J4" s="12"/>
      <c r="K4" s="12"/>
      <c r="L4" s="14"/>
      <c r="M4" s="12"/>
      <c r="N4" s="15"/>
      <c r="O4" s="16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</row>
    <row r="5" spans="1:43" ht="15" thickTop="1" x14ac:dyDescent="0.3">
      <c r="B5" s="2"/>
      <c r="F5" s="23"/>
      <c r="G5" s="23"/>
      <c r="H5" s="23"/>
      <c r="I5" s="23"/>
      <c r="J5" s="23"/>
    </row>
    <row r="6" spans="1:43" x14ac:dyDescent="0.3">
      <c r="A6" s="1" t="s">
        <v>3</v>
      </c>
      <c r="B6" s="2" t="s">
        <v>4</v>
      </c>
      <c r="C6" s="3">
        <f>188535000+136565000+243986000+281793000+361425500+194663500+191375500+162999000+71995000+225736500+133364000+166175500+203270000+180053000+161494500+167607500+174033000+176326000+354114500+69196500+240751500+175603000+152488500+115968000+106867500+48017000+221100000</f>
        <v>4905504000</v>
      </c>
      <c r="D6" s="24"/>
      <c r="E6" s="25"/>
      <c r="F6" s="26"/>
      <c r="G6" s="23"/>
      <c r="H6" s="23"/>
      <c r="I6" s="26"/>
      <c r="J6" s="23"/>
      <c r="K6" s="23"/>
    </row>
    <row r="7" spans="1:43" x14ac:dyDescent="0.3">
      <c r="F7" s="26"/>
      <c r="G7" s="23"/>
      <c r="H7" s="23"/>
      <c r="I7" s="26"/>
      <c r="J7" s="23"/>
      <c r="K7" s="23"/>
    </row>
    <row r="8" spans="1:43" x14ac:dyDescent="0.3">
      <c r="A8" s="1" t="s">
        <v>3</v>
      </c>
      <c r="B8" s="1" t="s">
        <v>5</v>
      </c>
      <c r="C8" s="3">
        <v>1456398940</v>
      </c>
      <c r="F8" s="26"/>
      <c r="G8" s="23"/>
      <c r="H8" s="23"/>
      <c r="I8" s="26"/>
      <c r="J8" s="23"/>
      <c r="K8" s="23"/>
      <c r="AQ8" s="4"/>
    </row>
    <row r="9" spans="1:43" x14ac:dyDescent="0.3">
      <c r="F9" s="26"/>
      <c r="G9" s="23"/>
      <c r="H9" s="23"/>
      <c r="I9" s="23"/>
      <c r="J9" s="23"/>
      <c r="K9" s="23"/>
      <c r="AQ9" s="4"/>
    </row>
    <row r="10" spans="1:43" x14ac:dyDescent="0.3">
      <c r="A10" s="1" t="s">
        <v>3</v>
      </c>
      <c r="B10" s="2" t="s">
        <v>6</v>
      </c>
      <c r="C10" s="4">
        <f>564550000+307164440+115300085+191329000+502890000+117712500+93400700+392355000+339600000+212669600+150420000+219000000+71602600+63449628+327320000+346583250+88025000+252400000+67010600+240058588+51315900+25670000+107200000+352000000</f>
        <v>5199026891</v>
      </c>
      <c r="D10" s="26"/>
      <c r="G10" s="23"/>
      <c r="H10" s="23"/>
      <c r="I10" s="23"/>
      <c r="J10" s="23"/>
      <c r="K10" s="23"/>
      <c r="AQ10" s="4"/>
    </row>
    <row r="11" spans="1:43" x14ac:dyDescent="0.3">
      <c r="B11" s="2"/>
      <c r="D11" s="26"/>
      <c r="G11" s="23"/>
      <c r="H11" s="23"/>
      <c r="I11" s="23"/>
      <c r="J11" s="23"/>
      <c r="K11" s="23"/>
      <c r="AQ11" s="4"/>
    </row>
    <row r="12" spans="1:43" x14ac:dyDescent="0.3">
      <c r="A12" s="1" t="s">
        <v>3</v>
      </c>
      <c r="B12" s="2" t="s">
        <v>7</v>
      </c>
      <c r="C12" s="4">
        <f>382500+580100+151000+438000+247106+414000+659500+167500+926000+508500+107500+1434000+588724+117500+530000</f>
        <v>7251930</v>
      </c>
      <c r="D12" s="26"/>
      <c r="G12" s="23"/>
      <c r="H12" s="23"/>
      <c r="I12" s="23"/>
      <c r="J12" s="23"/>
    </row>
    <row r="13" spans="1:43" x14ac:dyDescent="0.3">
      <c r="B13" s="2"/>
      <c r="D13" s="27"/>
      <c r="E13" s="27"/>
      <c r="F13" s="26"/>
      <c r="G13" s="23"/>
      <c r="H13" s="23"/>
      <c r="I13" s="23"/>
      <c r="J13" s="23"/>
      <c r="AQ13" s="4"/>
    </row>
    <row r="14" spans="1:43" x14ac:dyDescent="0.3">
      <c r="A14" s="1" t="s">
        <v>3</v>
      </c>
      <c r="B14" s="2" t="s">
        <v>8</v>
      </c>
      <c r="C14" s="4">
        <f>9792+86125+72664+5148</f>
        <v>173729</v>
      </c>
      <c r="F14" s="26"/>
      <c r="G14" s="23"/>
      <c r="H14" s="23"/>
      <c r="I14" s="23"/>
      <c r="J14" s="23"/>
      <c r="AQ14" s="4"/>
    </row>
    <row r="15" spans="1:43" x14ac:dyDescent="0.3">
      <c r="B15" s="2"/>
      <c r="F15" s="26"/>
      <c r="G15" s="23"/>
      <c r="H15" s="23"/>
      <c r="I15" s="23"/>
      <c r="J15" s="23"/>
      <c r="AQ15" s="4"/>
    </row>
    <row r="16" spans="1:43" x14ac:dyDescent="0.3">
      <c r="A16" s="1" t="s">
        <v>3</v>
      </c>
      <c r="B16" s="2" t="s">
        <v>9</v>
      </c>
      <c r="C16" s="3">
        <f>44500+7500+15000+37000+10500+7500+7000+107500+73500+14000+7500+8000+5000+7000</f>
        <v>351500</v>
      </c>
      <c r="D16" s="28"/>
      <c r="E16" s="29"/>
      <c r="F16" s="30"/>
      <c r="G16" s="23"/>
      <c r="H16" s="26"/>
      <c r="I16" s="23"/>
      <c r="J16" s="23"/>
      <c r="AQ16" s="4"/>
    </row>
    <row r="17" spans="1:42" x14ac:dyDescent="0.3">
      <c r="F17" s="23"/>
      <c r="G17" s="23"/>
      <c r="H17" s="26"/>
      <c r="I17" s="23"/>
      <c r="J17" s="30"/>
      <c r="L17" s="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x14ac:dyDescent="0.3">
      <c r="A18" s="1" t="s">
        <v>3</v>
      </c>
      <c r="B18" s="2" t="s">
        <v>10</v>
      </c>
      <c r="C18" s="3">
        <v>1843312754</v>
      </c>
      <c r="F18" s="30"/>
      <c r="G18" s="23"/>
      <c r="H18" s="23"/>
      <c r="I18" s="23"/>
      <c r="J18" s="23"/>
      <c r="L18" s="4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x14ac:dyDescent="0.3">
      <c r="B19" s="2"/>
      <c r="F19" s="23"/>
      <c r="G19" s="23"/>
      <c r="H19" s="23"/>
      <c r="I19" s="23"/>
      <c r="J19" s="23"/>
      <c r="L19" s="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x14ac:dyDescent="0.3">
      <c r="A20" s="1" t="s">
        <v>3</v>
      </c>
      <c r="B20" s="2" t="s">
        <v>11</v>
      </c>
      <c r="C20" s="3">
        <f>1150+85-198+[1]BCA!P667+100-164+100-182+250+100+252</f>
        <v>1959493</v>
      </c>
      <c r="F20" s="23"/>
      <c r="G20" s="23"/>
      <c r="H20" s="23"/>
      <c r="I20" s="23"/>
      <c r="J20" s="23"/>
      <c r="L20" s="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5" outlineLevel="1" thickBot="1" x14ac:dyDescent="0.35">
      <c r="C21" s="31" t="s">
        <v>12</v>
      </c>
      <c r="D21" s="32">
        <f>C6-(C8+C10-C12-C14+C16-C18)+C20</f>
        <v>102424575</v>
      </c>
      <c r="E21" s="33"/>
      <c r="F21" s="23"/>
      <c r="G21" s="23"/>
      <c r="H21" s="23"/>
      <c r="I21" s="23"/>
      <c r="J21" s="33"/>
      <c r="L21" s="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5" outlineLevel="1" thickTop="1" x14ac:dyDescent="0.3">
      <c r="B22" s="2"/>
      <c r="C22" s="34"/>
      <c r="F22" s="23"/>
      <c r="G22" s="23"/>
      <c r="H22" s="23"/>
      <c r="I22" s="23"/>
      <c r="J22" s="23"/>
      <c r="L22" s="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outlineLevel="1" x14ac:dyDescent="0.3">
      <c r="A23" s="1" t="s">
        <v>3</v>
      </c>
      <c r="B23" s="1" t="s">
        <v>13</v>
      </c>
      <c r="F23" s="23"/>
      <c r="G23" s="33"/>
      <c r="H23" s="23"/>
      <c r="I23" s="23"/>
      <c r="J23" s="23"/>
      <c r="L23" s="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outlineLevel="1" x14ac:dyDescent="0.3">
      <c r="B24" s="2" t="s">
        <v>14</v>
      </c>
      <c r="F24" s="23"/>
      <c r="G24" s="23"/>
      <c r="H24" s="33"/>
      <c r="I24" s="23"/>
      <c r="J24" s="23"/>
      <c r="L24" s="4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outlineLevel="2" x14ac:dyDescent="0.3">
      <c r="B25" s="2" t="s">
        <v>15</v>
      </c>
      <c r="C25" s="3">
        <f>1244000-200000+965000+788000+1006000+620000+1061000+460000+973000+434000+1091000+689000+890000+691000+1310000-200000+375000+789000+409000+931000+840000+553000+927000+755000+852000+721000+712000+795000-60000+925000-200000</f>
        <v>21146000</v>
      </c>
      <c r="D25" s="35"/>
      <c r="F25" s="26"/>
      <c r="G25" s="23"/>
      <c r="H25" s="23"/>
      <c r="I25" s="23"/>
      <c r="J25" s="23"/>
      <c r="L25" s="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outlineLevel="2" x14ac:dyDescent="0.3">
      <c r="B26" s="2" t="s">
        <v>16</v>
      </c>
      <c r="C26" s="3">
        <f>200000+200000+200000</f>
        <v>600000</v>
      </c>
      <c r="D26" s="25"/>
      <c r="F26" s="23"/>
      <c r="G26" s="23"/>
      <c r="H26" s="23"/>
      <c r="I26" s="23"/>
      <c r="J26" s="23"/>
      <c r="L26" s="4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outlineLevel="2" x14ac:dyDescent="0.3">
      <c r="B27" s="2" t="s">
        <v>17</v>
      </c>
      <c r="C27" s="3">
        <f>'[1]KAS BSR '!E1369</f>
        <v>3686500</v>
      </c>
      <c r="F27" s="23"/>
      <c r="G27" s="23"/>
      <c r="H27" s="23"/>
      <c r="I27" s="23"/>
      <c r="J27" s="23"/>
      <c r="L27" s="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outlineLevel="2" x14ac:dyDescent="0.3">
      <c r="B28" s="2" t="s">
        <v>18</v>
      </c>
      <c r="C28" s="25">
        <f>[1]BCA!F727</f>
        <v>14340700</v>
      </c>
      <c r="F28" s="23"/>
      <c r="G28" s="23"/>
      <c r="H28" s="23"/>
      <c r="I28" s="23"/>
      <c r="J28" s="23"/>
      <c r="L28" s="4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outlineLevel="2" x14ac:dyDescent="0.3">
      <c r="B29" s="2" t="s">
        <v>19</v>
      </c>
      <c r="C29" s="25">
        <f>[1]BCA!H727</f>
        <v>1000000</v>
      </c>
      <c r="F29" s="23"/>
      <c r="G29" s="23"/>
      <c r="H29" s="23"/>
      <c r="I29" s="23"/>
      <c r="J29" s="23"/>
      <c r="L29" s="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outlineLevel="2" x14ac:dyDescent="0.3">
      <c r="B30" s="2" t="s">
        <v>20</v>
      </c>
      <c r="C30" s="3">
        <f>'[1]KAS BSR '!F1369</f>
        <v>0</v>
      </c>
      <c r="F30" s="30"/>
      <c r="G30" s="23"/>
      <c r="H30" s="23"/>
      <c r="I30" s="23"/>
      <c r="J30" s="23"/>
      <c r="L30" s="4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outlineLevel="2" x14ac:dyDescent="0.3">
      <c r="B31" s="2" t="s">
        <v>21</v>
      </c>
      <c r="C31" s="3">
        <v>0</v>
      </c>
      <c r="E31" s="3"/>
      <c r="F31" s="26"/>
      <c r="G31" s="23"/>
      <c r="H31" s="23"/>
      <c r="I31" s="23"/>
      <c r="J31" s="23"/>
      <c r="L31" s="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outlineLevel="2" x14ac:dyDescent="0.3">
      <c r="B32" s="2" t="s">
        <v>22</v>
      </c>
      <c r="C32" s="3">
        <v>900000</v>
      </c>
      <c r="D32" s="28"/>
      <c r="E32" s="3"/>
      <c r="F32" s="26"/>
      <c r="G32" s="23"/>
      <c r="H32" s="23"/>
      <c r="I32" s="23"/>
      <c r="J32" s="23"/>
      <c r="L32" s="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outlineLevel="2" x14ac:dyDescent="0.3">
      <c r="B33" s="2" t="s">
        <v>23</v>
      </c>
      <c r="C33" s="3">
        <v>0</v>
      </c>
      <c r="E33" s="3"/>
      <c r="F33" s="26"/>
      <c r="G33" s="23"/>
      <c r="H33" s="23"/>
      <c r="I33" s="23"/>
      <c r="J33" s="23"/>
      <c r="L33" s="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outlineLevel="2" x14ac:dyDescent="0.3">
      <c r="B34" s="2" t="s">
        <v>24</v>
      </c>
      <c r="C34" s="3">
        <v>2460000</v>
      </c>
      <c r="E34" s="3"/>
      <c r="F34" s="26"/>
      <c r="G34" s="23"/>
      <c r="H34" s="23"/>
      <c r="I34" s="23"/>
      <c r="J34" s="23"/>
      <c r="L34" s="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outlineLevel="2" x14ac:dyDescent="0.3">
      <c r="B35" s="2" t="s">
        <v>25</v>
      </c>
      <c r="C35" s="3">
        <v>2360000</v>
      </c>
      <c r="E35" s="3"/>
      <c r="F35" s="26"/>
      <c r="G35" s="23"/>
      <c r="H35" s="23"/>
      <c r="I35" s="23"/>
      <c r="J35" s="23"/>
      <c r="L35" s="4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outlineLevel="2" x14ac:dyDescent="0.3">
      <c r="A36" s="1" t="s">
        <v>26</v>
      </c>
      <c r="B36" s="2" t="s">
        <v>27</v>
      </c>
      <c r="C36" s="3">
        <v>2430000</v>
      </c>
      <c r="E36" s="3"/>
      <c r="F36" s="26"/>
      <c r="G36" s="23"/>
      <c r="H36" s="23"/>
      <c r="I36" s="23"/>
      <c r="J36" s="23"/>
      <c r="L36" s="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outlineLevel="2" x14ac:dyDescent="0.3">
      <c r="B37" s="2" t="s">
        <v>28</v>
      </c>
      <c r="D37" s="2"/>
      <c r="F37" s="26"/>
      <c r="G37" s="23"/>
      <c r="H37" s="23"/>
      <c r="I37" s="23"/>
      <c r="J37" s="23"/>
      <c r="L37" s="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outlineLevel="2" x14ac:dyDescent="0.3">
      <c r="B38" s="2" t="s">
        <v>29</v>
      </c>
      <c r="C38" s="3">
        <f>[1]BCA!K727</f>
        <v>2000000</v>
      </c>
      <c r="D38" s="2" t="s">
        <v>30</v>
      </c>
      <c r="F38" s="30"/>
      <c r="G38" s="23"/>
      <c r="H38" s="23"/>
      <c r="I38" s="23"/>
      <c r="J38" s="23"/>
      <c r="L38" s="4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outlineLevel="2" x14ac:dyDescent="0.3">
      <c r="B39" s="2" t="s">
        <v>31</v>
      </c>
      <c r="C39" s="3">
        <f>[1]BCA!M674</f>
        <v>2129126</v>
      </c>
      <c r="D39" s="2"/>
      <c r="F39" s="26"/>
      <c r="G39" s="23"/>
      <c r="H39" s="23"/>
      <c r="I39" s="23"/>
      <c r="J39" s="23"/>
      <c r="L39" s="4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outlineLevel="2" x14ac:dyDescent="0.3">
      <c r="B40" s="2" t="s">
        <v>32</v>
      </c>
      <c r="C40" s="3">
        <f>[1]BCA!M685</f>
        <v>1101117</v>
      </c>
      <c r="D40" s="2"/>
      <c r="E40" s="35"/>
      <c r="F40" s="26"/>
      <c r="G40" s="23"/>
      <c r="H40" s="23"/>
      <c r="I40" s="23"/>
      <c r="J40" s="23"/>
      <c r="L40" s="4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outlineLevel="2" x14ac:dyDescent="0.3">
      <c r="B41" s="1" t="s">
        <v>33</v>
      </c>
      <c r="C41" s="3">
        <v>60000</v>
      </c>
      <c r="D41" s="2"/>
      <c r="E41" s="35"/>
      <c r="F41" s="26"/>
      <c r="G41" s="23"/>
      <c r="H41" s="23"/>
      <c r="I41" s="23"/>
      <c r="J41" s="23"/>
      <c r="L41" s="4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outlineLevel="2" x14ac:dyDescent="0.3">
      <c r="B42" s="1" t="s">
        <v>34</v>
      </c>
      <c r="C42" s="3">
        <f>[1]BCA!I727</f>
        <v>693000</v>
      </c>
      <c r="D42" s="2"/>
      <c r="E42" s="3"/>
      <c r="F42" s="26"/>
      <c r="G42" s="23"/>
      <c r="H42" s="23"/>
      <c r="I42" s="23"/>
      <c r="J42" s="23"/>
      <c r="L42" s="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outlineLevel="2" x14ac:dyDescent="0.3">
      <c r="A43" s="1" t="s">
        <v>35</v>
      </c>
      <c r="D43" s="28"/>
      <c r="F43" s="35"/>
      <c r="H43" s="23"/>
      <c r="I43" s="23"/>
      <c r="J43" s="23"/>
      <c r="L43" s="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15" outlineLevel="1" thickBot="1" x14ac:dyDescent="0.35">
      <c r="B44" s="2" t="s">
        <v>36</v>
      </c>
      <c r="C44" s="36">
        <f>SUM(C25:C43)</f>
        <v>54906443</v>
      </c>
      <c r="D44" s="37"/>
      <c r="F44" s="35"/>
      <c r="H44" s="23"/>
      <c r="I44" s="23"/>
      <c r="J44" s="23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ht="15" outlineLevel="1" thickTop="1" x14ac:dyDescent="0.3">
      <c r="D45" s="37"/>
      <c r="F45" s="26"/>
      <c r="G45" s="23"/>
      <c r="H45" s="23"/>
      <c r="I45" s="23"/>
      <c r="J45" s="23"/>
    </row>
    <row r="46" spans="1:42" outlineLevel="1" x14ac:dyDescent="0.3">
      <c r="B46" s="2" t="s">
        <v>37</v>
      </c>
      <c r="F46" s="23"/>
      <c r="G46" s="23"/>
      <c r="H46" s="23"/>
      <c r="I46" s="23"/>
      <c r="J46" s="23"/>
    </row>
    <row r="47" spans="1:42" outlineLevel="2" x14ac:dyDescent="0.3">
      <c r="B47" s="2" t="s">
        <v>38</v>
      </c>
      <c r="C47" s="3">
        <f>[1]BCA!G634</f>
        <v>1700000</v>
      </c>
      <c r="F47" s="23"/>
      <c r="G47" s="23"/>
      <c r="H47" s="23"/>
      <c r="I47" s="23"/>
      <c r="J47" s="23"/>
    </row>
    <row r="48" spans="1:42" s="6" customFormat="1" outlineLevel="2" x14ac:dyDescent="0.3">
      <c r="B48" s="2" t="s">
        <v>39</v>
      </c>
      <c r="C48" s="3">
        <f>'[1]BSI EDY'!G241</f>
        <v>12544657</v>
      </c>
      <c r="D48" s="4"/>
      <c r="E48" s="4"/>
      <c r="F48" s="23"/>
      <c r="G48" s="23"/>
      <c r="H48" s="23"/>
      <c r="I48" s="23"/>
      <c r="J48" s="23"/>
      <c r="K48" s="4"/>
      <c r="M48" s="4"/>
      <c r="N48" s="3"/>
      <c r="O48" s="5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spans="1:42" s="6" customFormat="1" outlineLevel="2" x14ac:dyDescent="0.3">
      <c r="B49" s="1" t="s">
        <v>40</v>
      </c>
      <c r="C49" s="3">
        <f>[1]BCA!J631</f>
        <v>5074000</v>
      </c>
      <c r="D49" s="4"/>
      <c r="E49" s="4"/>
      <c r="F49" s="23"/>
      <c r="G49" s="23"/>
      <c r="H49" s="23"/>
      <c r="I49" s="23"/>
      <c r="J49" s="23"/>
      <c r="K49" s="4"/>
      <c r="M49" s="4"/>
      <c r="N49" s="3"/>
      <c r="O49" s="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spans="1:42" s="6" customFormat="1" outlineLevel="2" x14ac:dyDescent="0.3">
      <c r="B50" s="1" t="s">
        <v>41</v>
      </c>
      <c r="C50" s="3">
        <f>[1]BCA!J646-2392922</f>
        <v>16187078</v>
      </c>
      <c r="D50" s="4"/>
      <c r="E50" s="4"/>
      <c r="F50" s="23"/>
      <c r="G50" s="23"/>
      <c r="H50" s="23"/>
      <c r="I50" s="23"/>
      <c r="J50" s="23"/>
      <c r="K50" s="4"/>
      <c r="M50" s="4"/>
      <c r="N50" s="3"/>
      <c r="O50" s="5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spans="1:42" s="6" customFormat="1" outlineLevel="2" x14ac:dyDescent="0.3">
      <c r="B51" s="2" t="s">
        <v>42</v>
      </c>
      <c r="C51" s="3">
        <f>[1]BCA!E727</f>
        <v>45063.909999999996</v>
      </c>
      <c r="D51" s="4"/>
      <c r="E51" s="4"/>
      <c r="F51" s="23"/>
      <c r="G51" s="23"/>
      <c r="H51" s="23"/>
      <c r="I51" s="23"/>
      <c r="J51" s="23"/>
      <c r="K51" s="4"/>
      <c r="M51" s="4"/>
      <c r="N51" s="3"/>
      <c r="O51" s="5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spans="1:42" s="6" customFormat="1" outlineLevel="2" x14ac:dyDescent="0.3">
      <c r="B52" s="2" t="s">
        <v>43</v>
      </c>
      <c r="C52" s="3">
        <f>'[1]BSI EDY'!E247</f>
        <v>16000</v>
      </c>
      <c r="D52" s="4"/>
      <c r="E52" s="4"/>
      <c r="F52" s="23"/>
      <c r="G52" s="23"/>
      <c r="H52" s="23"/>
      <c r="I52" s="23"/>
      <c r="J52" s="23"/>
      <c r="K52" s="4"/>
      <c r="M52" s="4"/>
      <c r="N52" s="3"/>
      <c r="O52" s="5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spans="1:42" s="6" customFormat="1" outlineLevel="2" x14ac:dyDescent="0.3">
      <c r="B53" s="2" t="s">
        <v>44</v>
      </c>
      <c r="C53" s="3">
        <f>4100000</f>
        <v>4100000</v>
      </c>
      <c r="D53" s="4"/>
      <c r="E53" s="4"/>
      <c r="F53" s="23"/>
      <c r="G53" s="23"/>
      <c r="H53" s="23"/>
      <c r="I53" s="23"/>
      <c r="J53" s="23"/>
      <c r="K53" s="4"/>
      <c r="M53" s="4"/>
      <c r="N53" s="3"/>
      <c r="O53" s="5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 spans="1:42" s="6" customFormat="1" outlineLevel="2" x14ac:dyDescent="0.3">
      <c r="B54" s="2" t="s">
        <v>45</v>
      </c>
      <c r="C54" s="3"/>
      <c r="D54" s="3"/>
      <c r="E54" s="4"/>
      <c r="F54" s="23"/>
      <c r="G54" s="23"/>
      <c r="H54" s="23"/>
      <c r="I54" s="23"/>
      <c r="J54" s="23"/>
      <c r="K54" s="4"/>
      <c r="M54" s="4"/>
      <c r="N54" s="3"/>
      <c r="O54" s="5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 s="6" customFormat="1" outlineLevel="2" x14ac:dyDescent="0.3">
      <c r="B55" s="2" t="s">
        <v>46</v>
      </c>
      <c r="C55" s="3"/>
      <c r="D55" s="4"/>
      <c r="E55" s="4"/>
      <c r="F55" s="23"/>
      <c r="G55" s="23"/>
      <c r="H55" s="23"/>
      <c r="I55" s="23"/>
      <c r="J55" s="23"/>
      <c r="K55" s="4"/>
      <c r="M55" s="4"/>
      <c r="N55" s="3"/>
      <c r="O55" s="5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spans="1:42" s="6" customFormat="1" outlineLevel="2" x14ac:dyDescent="0.3">
      <c r="B56" s="2" t="s">
        <v>47</v>
      </c>
      <c r="C56" s="3"/>
      <c r="D56" s="4"/>
      <c r="E56" s="4"/>
      <c r="F56" s="23"/>
      <c r="G56" s="23"/>
      <c r="H56" s="23"/>
      <c r="I56" s="23"/>
      <c r="J56" s="23"/>
      <c r="K56" s="4"/>
      <c r="M56" s="4"/>
      <c r="N56" s="3"/>
      <c r="O56" s="5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spans="1:42" s="6" customFormat="1" ht="15" outlineLevel="1" thickBot="1" x14ac:dyDescent="0.35">
      <c r="B57" s="2" t="s">
        <v>36</v>
      </c>
      <c r="C57" s="36">
        <f>SUM(C47:C56)</f>
        <v>39666798.909999996</v>
      </c>
      <c r="D57" s="4"/>
      <c r="E57" s="4"/>
      <c r="F57" s="23"/>
      <c r="G57" s="23"/>
      <c r="H57" s="23"/>
      <c r="I57" s="23"/>
      <c r="J57" s="23"/>
      <c r="K57" s="4"/>
      <c r="M57" s="4"/>
      <c r="N57" s="3"/>
      <c r="O57" s="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spans="1:42" s="6" customFormat="1" ht="15" outlineLevel="1" thickTop="1" x14ac:dyDescent="0.3">
      <c r="B58" s="2"/>
      <c r="C58" s="3"/>
      <c r="D58" s="4"/>
      <c r="E58" s="4"/>
      <c r="F58" s="23"/>
      <c r="G58" s="23"/>
      <c r="H58" s="23"/>
      <c r="I58" s="23"/>
      <c r="J58" s="23"/>
      <c r="K58" s="23"/>
      <c r="M58" s="4"/>
      <c r="N58" s="3"/>
      <c r="O58" s="5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1:42" s="6" customFormat="1" ht="15" outlineLevel="1" thickBot="1" x14ac:dyDescent="0.35">
      <c r="B59" s="1"/>
      <c r="C59" s="2" t="s">
        <v>48</v>
      </c>
      <c r="D59" s="38">
        <f>C44+C57</f>
        <v>94573241.909999996</v>
      </c>
      <c r="F59" s="23"/>
      <c r="G59" s="23"/>
      <c r="H59" s="23"/>
      <c r="I59" s="23"/>
      <c r="J59" s="23"/>
      <c r="K59" s="23"/>
      <c r="M59" s="4"/>
      <c r="N59" s="3"/>
      <c r="O59" s="5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spans="1:42" s="6" customFormat="1" ht="15" outlineLevel="1" thickTop="1" x14ac:dyDescent="0.3">
      <c r="B60" s="1"/>
      <c r="C60" s="2"/>
      <c r="D60" s="23" t="s">
        <v>49</v>
      </c>
      <c r="F60" s="23"/>
      <c r="G60" s="23"/>
      <c r="H60" s="23"/>
      <c r="I60" s="23"/>
      <c r="J60" s="4"/>
      <c r="K60" s="4"/>
      <c r="M60" s="4"/>
      <c r="N60" s="3"/>
      <c r="O60" s="5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spans="1:42" s="6" customFormat="1" ht="18" x14ac:dyDescent="0.35">
      <c r="B61" s="39"/>
      <c r="C61" s="40" t="s">
        <v>50</v>
      </c>
      <c r="D61" s="41">
        <f>D21-D59</f>
        <v>7851333.0900000036</v>
      </c>
      <c r="E61" s="4">
        <f>D61*10%</f>
        <v>785133.30900000036</v>
      </c>
      <c r="G61" s="23"/>
      <c r="H61" s="4"/>
      <c r="I61" s="4"/>
      <c r="J61" s="4"/>
      <c r="K61" s="4"/>
      <c r="M61" s="4"/>
      <c r="N61" s="3"/>
      <c r="O61" s="5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spans="1:42" ht="18" x14ac:dyDescent="0.35">
      <c r="B62" s="39"/>
      <c r="D62" s="42">
        <f>D61-E61</f>
        <v>7066199.7810000032</v>
      </c>
      <c r="G62" s="23"/>
    </row>
    <row r="63" spans="1:42" x14ac:dyDescent="0.3">
      <c r="B63" s="39"/>
      <c r="F63" s="23"/>
      <c r="G63" s="23"/>
    </row>
    <row r="64" spans="1:42" ht="21.6" thickBot="1" x14ac:dyDescent="0.45">
      <c r="A64" s="43" t="s">
        <v>51</v>
      </c>
      <c r="B64" s="43"/>
      <c r="C64" s="43"/>
      <c r="D64" s="43"/>
      <c r="E64" s="43"/>
      <c r="F64" s="43"/>
      <c r="G64" s="43"/>
      <c r="H64" s="43"/>
      <c r="I64" s="43"/>
      <c r="J64" s="44"/>
      <c r="K64" s="44"/>
      <c r="L64" s="44"/>
      <c r="M64" s="45"/>
      <c r="N64" s="4"/>
      <c r="O64" s="4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</row>
    <row r="65" spans="1:14" s="4" customFormat="1" ht="18.600000000000001" thickTop="1" x14ac:dyDescent="0.35">
      <c r="A65" s="47" t="s">
        <v>52</v>
      </c>
      <c r="B65" s="47"/>
      <c r="C65" s="47"/>
      <c r="D65" s="47"/>
      <c r="E65" s="48"/>
      <c r="F65" s="49" t="s">
        <v>53</v>
      </c>
      <c r="G65" s="50"/>
      <c r="H65" s="50"/>
      <c r="I65" s="50"/>
      <c r="J65" s="50"/>
      <c r="K65" s="50"/>
      <c r="L65" s="50"/>
      <c r="M65" s="51"/>
    </row>
    <row r="66" spans="1:14" s="4" customFormat="1" ht="15.6" x14ac:dyDescent="0.3">
      <c r="A66" s="52" t="s">
        <v>52</v>
      </c>
      <c r="B66" s="53"/>
      <c r="C66" s="3"/>
      <c r="F66" s="54" t="s">
        <v>54</v>
      </c>
      <c r="G66" s="55" t="s">
        <v>55</v>
      </c>
      <c r="H66" s="5"/>
      <c r="I66" s="5"/>
    </row>
    <row r="67" spans="1:14" s="4" customFormat="1" x14ac:dyDescent="0.3">
      <c r="A67" s="1" t="s">
        <v>3</v>
      </c>
      <c r="B67" s="1" t="s">
        <v>56</v>
      </c>
      <c r="C67" s="56">
        <f>'[1]KAS BSR '!N1369</f>
        <v>212798500</v>
      </c>
      <c r="D67" s="24"/>
      <c r="F67" s="57"/>
      <c r="G67" s="23"/>
      <c r="H67" s="5"/>
      <c r="I67" s="5"/>
    </row>
    <row r="68" spans="1:14" s="4" customFormat="1" x14ac:dyDescent="0.3">
      <c r="A68" s="1" t="s">
        <v>3</v>
      </c>
      <c r="B68" s="58" t="s">
        <v>57</v>
      </c>
      <c r="C68" s="59">
        <f>700000+'[2]KAS BSR '!F498</f>
        <v>1000000</v>
      </c>
      <c r="F68" s="57" t="s">
        <v>58</v>
      </c>
      <c r="G68" s="33">
        <v>26070049</v>
      </c>
      <c r="H68" s="4">
        <f>143648588-588724</f>
        <v>143059864</v>
      </c>
      <c r="I68" s="5"/>
    </row>
    <row r="69" spans="1:14" s="4" customFormat="1" outlineLevel="1" x14ac:dyDescent="0.3">
      <c r="A69" s="1"/>
      <c r="B69" s="1"/>
      <c r="C69" s="33" t="s">
        <v>36</v>
      </c>
      <c r="D69" s="4">
        <f>SUM(C67:C68)</f>
        <v>213798500</v>
      </c>
      <c r="F69" s="57" t="s">
        <v>59</v>
      </c>
      <c r="G69" s="33">
        <v>26070030</v>
      </c>
      <c r="H69" s="4">
        <v>13249875</v>
      </c>
      <c r="I69" s="5"/>
    </row>
    <row r="70" spans="1:14" s="4" customFormat="1" outlineLevel="1" x14ac:dyDescent="0.3">
      <c r="A70" s="1"/>
      <c r="B70" s="1"/>
      <c r="C70" s="3"/>
      <c r="F70" s="57" t="s">
        <v>60</v>
      </c>
      <c r="G70" s="33"/>
      <c r="H70" s="4">
        <v>8170000</v>
      </c>
      <c r="I70" s="5"/>
      <c r="J70" s="60"/>
      <c r="K70" s="60"/>
    </row>
    <row r="71" spans="1:14" s="4" customFormat="1" outlineLevel="1" x14ac:dyDescent="0.3">
      <c r="A71" s="1"/>
      <c r="B71" s="58"/>
      <c r="C71" s="33"/>
      <c r="F71" s="57"/>
      <c r="G71" s="61"/>
      <c r="L71" s="6"/>
    </row>
    <row r="72" spans="1:14" s="4" customFormat="1" outlineLevel="1" x14ac:dyDescent="0.3">
      <c r="A72" s="1" t="s">
        <v>3</v>
      </c>
      <c r="B72" s="58" t="s">
        <v>61</v>
      </c>
      <c r="C72" s="3">
        <f>[1]BCA!Q727</f>
        <v>285898110.13999999</v>
      </c>
      <c r="F72" s="57"/>
      <c r="I72" s="5"/>
    </row>
    <row r="73" spans="1:14" s="4" customFormat="1" outlineLevel="1" x14ac:dyDescent="0.3">
      <c r="A73" s="1" t="s">
        <v>3</v>
      </c>
      <c r="B73" s="1" t="s">
        <v>62</v>
      </c>
      <c r="C73" s="3">
        <f>'[1]BSI EDY'!L249</f>
        <v>29533917.929999933</v>
      </c>
      <c r="F73" s="57"/>
      <c r="G73" s="23"/>
      <c r="H73" s="5" t="s">
        <v>63</v>
      </c>
      <c r="I73" s="4">
        <f>SUM(H68:H72)</f>
        <v>164479739</v>
      </c>
    </row>
    <row r="74" spans="1:14" s="4" customFormat="1" outlineLevel="1" x14ac:dyDescent="0.3">
      <c r="A74" s="1" t="s">
        <v>3</v>
      </c>
      <c r="B74" s="1" t="s">
        <v>64</v>
      </c>
      <c r="C74" s="33">
        <f>2117391-1000</f>
        <v>2116391</v>
      </c>
      <c r="F74" s="57"/>
      <c r="G74" s="23"/>
      <c r="H74" s="62"/>
      <c r="I74" s="5"/>
    </row>
    <row r="75" spans="1:14" s="4" customFormat="1" ht="16.2" outlineLevel="1" thickBot="1" x14ac:dyDescent="0.35">
      <c r="A75" s="1" t="s">
        <v>3</v>
      </c>
      <c r="B75" s="1"/>
      <c r="C75" s="63"/>
      <c r="F75" s="64" t="s">
        <v>65</v>
      </c>
      <c r="G75" s="23"/>
      <c r="H75" s="5"/>
    </row>
    <row r="76" spans="1:14" s="4" customFormat="1" outlineLevel="1" x14ac:dyDescent="0.3">
      <c r="A76" s="1"/>
      <c r="B76" s="1"/>
      <c r="C76" s="3" t="s">
        <v>36</v>
      </c>
      <c r="D76" s="4">
        <f>SUM(C71:C74)</f>
        <v>317548419.06999993</v>
      </c>
      <c r="F76" s="57"/>
      <c r="G76" s="26"/>
      <c r="H76" s="5"/>
      <c r="I76" s="5"/>
    </row>
    <row r="77" spans="1:14" s="4" customFormat="1" outlineLevel="1" x14ac:dyDescent="0.3">
      <c r="A77" s="1"/>
      <c r="B77" s="1"/>
      <c r="C77" s="3"/>
      <c r="F77" s="57" t="s">
        <v>66</v>
      </c>
      <c r="H77" s="4">
        <f>50000000+50000000+50000000+177000000-20000000</f>
        <v>307000000</v>
      </c>
      <c r="I77" s="5"/>
      <c r="N77" s="3"/>
    </row>
    <row r="78" spans="1:14" s="4" customFormat="1" outlineLevel="1" x14ac:dyDescent="0.3">
      <c r="A78" s="1"/>
      <c r="B78" s="1"/>
      <c r="C78" s="33"/>
      <c r="F78" s="57" t="s">
        <v>67</v>
      </c>
      <c r="G78" s="26"/>
      <c r="H78" s="5">
        <v>100000000</v>
      </c>
      <c r="I78" s="5"/>
      <c r="N78" s="3"/>
    </row>
    <row r="79" spans="1:14" s="4" customFormat="1" outlineLevel="1" x14ac:dyDescent="0.3">
      <c r="A79" s="1"/>
      <c r="B79" s="1"/>
      <c r="C79" s="3"/>
      <c r="F79" s="57" t="s">
        <v>68</v>
      </c>
      <c r="G79" s="26"/>
      <c r="H79" s="5">
        <f>1500000000-7115249-'[2]BSI EDY'!G45-'[2]BSI EDY'!G66-'[1]BSI EDY'!G94-'[1]BSI EDY'!G123-'[1]BSI EDY'!G140-'[1]BSI EDY'!G168-'[1]BSI EDY'!G190-'[1]BSI EDY'!G213-'[1]BSI EDY'!G240</f>
        <v>1425979498</v>
      </c>
      <c r="I79" s="5" t="s">
        <v>69</v>
      </c>
      <c r="N79" s="3"/>
    </row>
    <row r="80" spans="1:14" s="4" customFormat="1" outlineLevel="1" x14ac:dyDescent="0.3">
      <c r="A80" s="1"/>
      <c r="B80" s="1"/>
      <c r="C80" s="3"/>
      <c r="F80" s="57" t="s">
        <v>70</v>
      </c>
      <c r="G80" s="26"/>
      <c r="H80" s="5">
        <f>100000000-100000000+100000000</f>
        <v>100000000</v>
      </c>
      <c r="I80" s="5"/>
      <c r="N80" s="3"/>
    </row>
    <row r="81" spans="1:42" s="4" customFormat="1" outlineLevel="1" x14ac:dyDescent="0.3">
      <c r="A81" s="1" t="s">
        <v>3</v>
      </c>
      <c r="B81" s="58" t="str">
        <f>B18</f>
        <v xml:space="preserve">PERSEDIAAN BRG DG AKHIR </v>
      </c>
      <c r="C81" s="65">
        <f>C18</f>
        <v>1843312754</v>
      </c>
      <c r="F81" s="66" t="s">
        <v>71</v>
      </c>
      <c r="G81" s="26"/>
      <c r="H81" s="4">
        <v>100000000</v>
      </c>
      <c r="N81" s="3"/>
    </row>
    <row r="82" spans="1:42" outlineLevel="1" x14ac:dyDescent="0.3">
      <c r="C82" s="3" t="s">
        <v>36</v>
      </c>
      <c r="D82" s="4">
        <f>SUM(C80:C81)</f>
        <v>1843312754</v>
      </c>
      <c r="F82" s="57"/>
      <c r="G82" s="26"/>
      <c r="H82" s="67"/>
      <c r="I82" s="35"/>
      <c r="L82" s="4"/>
      <c r="O82" s="4"/>
    </row>
    <row r="83" spans="1:42" outlineLevel="1" x14ac:dyDescent="0.3">
      <c r="D83" s="23"/>
      <c r="E83" s="33"/>
      <c r="F83" s="57"/>
      <c r="I83" s="5"/>
      <c r="L83" s="4"/>
      <c r="O83" s="4"/>
      <c r="AP83" s="1"/>
    </row>
    <row r="84" spans="1:42" outlineLevel="1" x14ac:dyDescent="0.3">
      <c r="A84" s="1" t="s">
        <v>3</v>
      </c>
      <c r="B84" s="1" t="s">
        <v>72</v>
      </c>
      <c r="C84" s="23">
        <f>195750000+32480000-5000000-2000000-1000000-1200000-3000000</f>
        <v>216030000</v>
      </c>
      <c r="F84" s="68"/>
      <c r="G84" s="23"/>
      <c r="H84" s="5" t="s">
        <v>73</v>
      </c>
      <c r="I84" s="69">
        <f>SUM(H76:H82)</f>
        <v>2032979498</v>
      </c>
      <c r="L84" s="4"/>
      <c r="O84" s="4"/>
    </row>
    <row r="85" spans="1:42" outlineLevel="1" x14ac:dyDescent="0.3">
      <c r="A85" s="1" t="s">
        <v>3</v>
      </c>
      <c r="B85" s="1" t="s">
        <v>74</v>
      </c>
      <c r="C85" s="3">
        <v>46318000</v>
      </c>
      <c r="F85" s="68"/>
      <c r="G85" s="23"/>
      <c r="H85" s="5"/>
      <c r="I85" s="5"/>
      <c r="L85" s="4"/>
    </row>
    <row r="86" spans="1:42" outlineLevel="1" x14ac:dyDescent="0.3">
      <c r="A86" s="1" t="s">
        <v>3</v>
      </c>
      <c r="B86" s="1" t="s">
        <v>75</v>
      </c>
      <c r="C86" s="4">
        <f>1968000+2071000+2706000</f>
        <v>6745000</v>
      </c>
      <c r="D86" s="4">
        <f>4328000+3082500+5068000</f>
        <v>12478500</v>
      </c>
      <c r="F86" s="68"/>
      <c r="G86" s="23"/>
      <c r="H86" s="5" t="s">
        <v>76</v>
      </c>
      <c r="I86" s="5"/>
      <c r="J86" s="4">
        <f>I73+I84</f>
        <v>2197459237</v>
      </c>
      <c r="L86" s="4"/>
      <c r="N86" s="4"/>
      <c r="O86" s="4"/>
    </row>
    <row r="87" spans="1:42" outlineLevel="1" x14ac:dyDescent="0.3">
      <c r="A87" s="1" t="s">
        <v>3</v>
      </c>
      <c r="B87" s="1" t="s">
        <v>77</v>
      </c>
      <c r="C87" s="4">
        <f>7833000+3235000</f>
        <v>11068000</v>
      </c>
      <c r="F87" s="70"/>
      <c r="G87" s="23"/>
      <c r="L87" s="4"/>
      <c r="M87" s="23"/>
      <c r="N87" s="23"/>
      <c r="O87" s="23"/>
    </row>
    <row r="88" spans="1:42" outlineLevel="1" x14ac:dyDescent="0.3">
      <c r="A88" s="1" t="s">
        <v>3</v>
      </c>
      <c r="B88" s="1" t="s">
        <v>78</v>
      </c>
      <c r="F88" s="57"/>
      <c r="G88" s="26"/>
      <c r="L88" s="4"/>
      <c r="M88" s="23"/>
      <c r="N88" s="23"/>
      <c r="O88" s="23"/>
    </row>
    <row r="89" spans="1:42" outlineLevel="1" x14ac:dyDescent="0.3">
      <c r="A89" s="1" t="s">
        <v>3</v>
      </c>
      <c r="B89" s="1" t="s">
        <v>79</v>
      </c>
      <c r="C89" s="4"/>
      <c r="D89" s="25"/>
      <c r="F89" s="57"/>
      <c r="G89" s="26"/>
      <c r="H89" s="5"/>
      <c r="L89" s="4"/>
      <c r="M89" s="23"/>
      <c r="N89" s="23"/>
      <c r="O89" s="23"/>
    </row>
    <row r="90" spans="1:42" outlineLevel="1" x14ac:dyDescent="0.3">
      <c r="A90" s="1" t="s">
        <v>3</v>
      </c>
      <c r="B90" s="1" t="s">
        <v>80</v>
      </c>
      <c r="D90" s="25"/>
      <c r="F90" s="57" t="s">
        <v>81</v>
      </c>
      <c r="G90" s="26"/>
      <c r="L90" s="4"/>
      <c r="M90" s="23"/>
      <c r="N90" s="23"/>
      <c r="O90" s="23"/>
    </row>
    <row r="91" spans="1:42" outlineLevel="1" x14ac:dyDescent="0.3">
      <c r="A91" s="1" t="s">
        <v>3</v>
      </c>
      <c r="B91" s="1" t="s">
        <v>82</v>
      </c>
      <c r="F91" s="57" t="s">
        <v>83</v>
      </c>
      <c r="G91" s="26"/>
      <c r="H91" s="5">
        <v>258879750</v>
      </c>
      <c r="L91" s="4"/>
      <c r="M91" s="23"/>
      <c r="N91" s="23"/>
      <c r="O91" s="23"/>
    </row>
    <row r="92" spans="1:42" outlineLevel="1" x14ac:dyDescent="0.3">
      <c r="A92" s="1" t="s">
        <v>3</v>
      </c>
      <c r="B92" s="1" t="s">
        <v>84</v>
      </c>
      <c r="D92" s="71"/>
      <c r="F92" s="57"/>
      <c r="G92" s="26"/>
      <c r="H92" s="67"/>
      <c r="L92" s="4"/>
      <c r="M92" s="23"/>
      <c r="N92" s="33"/>
      <c r="O92" s="23"/>
    </row>
    <row r="93" spans="1:42" outlineLevel="1" x14ac:dyDescent="0.3">
      <c r="A93" s="1" t="s">
        <v>3</v>
      </c>
      <c r="B93" s="1" t="s">
        <v>85</v>
      </c>
      <c r="F93" s="57"/>
      <c r="G93" s="26"/>
      <c r="H93" s="23"/>
      <c r="L93" s="4"/>
      <c r="M93" s="23"/>
      <c r="N93" s="33"/>
      <c r="O93" s="23"/>
    </row>
    <row r="94" spans="1:42" outlineLevel="1" x14ac:dyDescent="0.3">
      <c r="A94" s="1" t="s">
        <v>3</v>
      </c>
      <c r="F94" s="57"/>
      <c r="G94" s="26"/>
      <c r="H94" s="5" t="s">
        <v>86</v>
      </c>
      <c r="J94" s="4">
        <f>SUM(H89:H92)</f>
        <v>258879750</v>
      </c>
      <c r="L94" s="4"/>
      <c r="M94" s="23"/>
      <c r="N94" s="33"/>
      <c r="O94" s="23"/>
    </row>
    <row r="95" spans="1:42" outlineLevel="1" x14ac:dyDescent="0.3">
      <c r="A95" s="1" t="s">
        <v>3</v>
      </c>
      <c r="B95" s="1" t="s">
        <v>87</v>
      </c>
      <c r="C95" s="3">
        <f>2000000+500000-500000+500000</f>
        <v>2500000</v>
      </c>
      <c r="F95" s="57"/>
      <c r="G95" s="26"/>
      <c r="H95" s="5"/>
      <c r="L95" s="4"/>
      <c r="M95" s="23"/>
      <c r="N95" s="33"/>
      <c r="O95" s="23"/>
    </row>
    <row r="96" spans="1:42" outlineLevel="1" x14ac:dyDescent="0.3">
      <c r="A96" s="1" t="s">
        <v>3</v>
      </c>
      <c r="B96" s="1" t="s">
        <v>88</v>
      </c>
      <c r="C96" s="3">
        <f>1000000+700000</f>
        <v>1700000</v>
      </c>
      <c r="F96" s="57"/>
      <c r="G96" s="26"/>
      <c r="H96" s="62"/>
      <c r="L96" s="4"/>
      <c r="M96" s="23"/>
      <c r="N96" s="33"/>
      <c r="O96" s="23"/>
    </row>
    <row r="97" spans="1:42" outlineLevel="1" x14ac:dyDescent="0.3">
      <c r="A97" s="1" t="s">
        <v>3</v>
      </c>
      <c r="B97" s="1" t="s">
        <v>89</v>
      </c>
      <c r="C97" s="3">
        <f>4000000+3000000+1000000-4075000-3925000</f>
        <v>0</v>
      </c>
      <c r="F97" s="57" t="s">
        <v>90</v>
      </c>
      <c r="G97" s="26"/>
      <c r="H97" s="62">
        <f>6554523</f>
        <v>6554523</v>
      </c>
      <c r="L97" s="4"/>
      <c r="M97" s="23"/>
      <c r="N97" s="23"/>
      <c r="O97" s="23"/>
    </row>
    <row r="98" spans="1:42" outlineLevel="1" x14ac:dyDescent="0.3">
      <c r="A98" s="1" t="s">
        <v>3</v>
      </c>
      <c r="F98" s="57" t="s">
        <v>91</v>
      </c>
      <c r="G98" s="26"/>
      <c r="H98" s="62">
        <f>462861951-15428600</f>
        <v>447433351</v>
      </c>
      <c r="L98" s="4"/>
      <c r="M98" s="23"/>
      <c r="N98" s="23"/>
      <c r="O98" s="23"/>
    </row>
    <row r="99" spans="1:42" outlineLevel="1" x14ac:dyDescent="0.3">
      <c r="A99" s="1" t="s">
        <v>3</v>
      </c>
      <c r="C99" s="3" t="s">
        <v>36</v>
      </c>
      <c r="D99" s="4">
        <f>SUM(C84:C98)</f>
        <v>284361000</v>
      </c>
      <c r="F99" s="57" t="s">
        <v>92</v>
      </c>
      <c r="H99" s="4">
        <v>638345131</v>
      </c>
      <c r="L99" s="4"/>
      <c r="M99" s="23"/>
      <c r="N99" s="33"/>
      <c r="O99" s="23"/>
      <c r="AO99" s="1"/>
      <c r="AP99" s="1"/>
    </row>
    <row r="100" spans="1:42" outlineLevel="1" x14ac:dyDescent="0.3">
      <c r="F100" s="57" t="s">
        <v>93</v>
      </c>
      <c r="H100" s="4">
        <v>408022660</v>
      </c>
      <c r="L100" s="4"/>
      <c r="M100" s="23"/>
      <c r="N100" s="33"/>
      <c r="O100" s="23"/>
      <c r="AO100" s="1"/>
      <c r="AP100" s="1"/>
    </row>
    <row r="101" spans="1:42" outlineLevel="1" x14ac:dyDescent="0.3">
      <c r="A101" s="1" t="s">
        <v>3</v>
      </c>
      <c r="B101" s="1" t="s">
        <v>94</v>
      </c>
      <c r="C101" s="3">
        <v>5300000</v>
      </c>
      <c r="F101" s="57" t="s">
        <v>95</v>
      </c>
      <c r="G101" s="26"/>
      <c r="H101" s="4">
        <v>59737621</v>
      </c>
      <c r="L101" s="4"/>
      <c r="M101" s="23"/>
      <c r="N101" s="23"/>
      <c r="O101" s="23"/>
      <c r="AO101" s="1"/>
      <c r="AP101" s="1"/>
    </row>
    <row r="102" spans="1:42" outlineLevel="1" x14ac:dyDescent="0.3">
      <c r="A102" s="1" t="s">
        <v>3</v>
      </c>
      <c r="B102" s="1" t="s">
        <v>96</v>
      </c>
      <c r="C102" s="3">
        <v>27000000</v>
      </c>
      <c r="F102" s="57" t="s">
        <v>97</v>
      </c>
      <c r="G102" s="26"/>
      <c r="H102" s="62">
        <f>59550594+500000</f>
        <v>60050594</v>
      </c>
      <c r="L102" s="4"/>
      <c r="M102" s="23"/>
      <c r="N102" s="23"/>
      <c r="O102" s="23"/>
      <c r="AO102" s="1"/>
      <c r="AP102" s="1"/>
    </row>
    <row r="103" spans="1:42" outlineLevel="1" x14ac:dyDescent="0.3">
      <c r="A103" s="1" t="s">
        <v>3</v>
      </c>
      <c r="B103" s="1" t="s">
        <v>98</v>
      </c>
      <c r="C103" s="3">
        <v>65500000</v>
      </c>
      <c r="F103" s="57" t="s">
        <v>99</v>
      </c>
      <c r="G103" s="26"/>
      <c r="H103" s="62">
        <v>18160762</v>
      </c>
      <c r="I103" s="5"/>
      <c r="L103" s="4"/>
      <c r="M103" s="23"/>
      <c r="N103" s="33"/>
      <c r="O103" s="23"/>
    </row>
    <row r="104" spans="1:42" outlineLevel="1" x14ac:dyDescent="0.3">
      <c r="A104" s="1" t="s">
        <v>3</v>
      </c>
      <c r="B104" s="1" t="s">
        <v>100</v>
      </c>
      <c r="C104" s="3">
        <v>92000000</v>
      </c>
      <c r="F104" s="57" t="s">
        <v>101</v>
      </c>
      <c r="G104" s="26"/>
      <c r="H104" s="23">
        <v>57410579</v>
      </c>
      <c r="L104" s="4"/>
      <c r="M104" s="23"/>
      <c r="N104" s="33"/>
      <c r="O104" s="23"/>
    </row>
    <row r="105" spans="1:42" outlineLevel="1" x14ac:dyDescent="0.3">
      <c r="A105" s="1" t="s">
        <v>3</v>
      </c>
      <c r="B105" s="1" t="s">
        <v>102</v>
      </c>
      <c r="C105" s="65">
        <f>27500000-27500000</f>
        <v>0</v>
      </c>
      <c r="F105" s="57" t="s">
        <v>103</v>
      </c>
      <c r="G105" s="26"/>
      <c r="H105" s="4">
        <f>37094205</f>
        <v>37094205</v>
      </c>
      <c r="L105" s="4"/>
      <c r="M105" s="23"/>
      <c r="N105" s="23"/>
      <c r="O105" s="72"/>
    </row>
    <row r="106" spans="1:42" outlineLevel="1" x14ac:dyDescent="0.3">
      <c r="A106" s="1" t="s">
        <v>3</v>
      </c>
      <c r="C106" s="3" t="s">
        <v>36</v>
      </c>
      <c r="D106" s="4">
        <f>SUM(C101:C105)</f>
        <v>189800000</v>
      </c>
      <c r="F106" s="57" t="s">
        <v>104</v>
      </c>
      <c r="G106" s="26"/>
      <c r="H106" s="4">
        <v>40818360</v>
      </c>
      <c r="L106" s="4"/>
      <c r="M106" s="23"/>
      <c r="N106" s="23"/>
      <c r="O106" s="1"/>
    </row>
    <row r="107" spans="1:42" outlineLevel="1" x14ac:dyDescent="0.3">
      <c r="F107" s="57" t="s">
        <v>105</v>
      </c>
      <c r="G107" s="23"/>
      <c r="H107" s="5"/>
      <c r="I107" s="5"/>
      <c r="L107" s="4"/>
      <c r="M107" s="23"/>
      <c r="N107" s="33"/>
      <c r="O107" s="1"/>
    </row>
    <row r="108" spans="1:42" outlineLevel="1" x14ac:dyDescent="0.3">
      <c r="A108" s="1" t="s">
        <v>3</v>
      </c>
      <c r="B108" s="1" t="s">
        <v>106</v>
      </c>
      <c r="C108" s="3">
        <v>3800000</v>
      </c>
      <c r="F108" s="57" t="s">
        <v>107</v>
      </c>
      <c r="G108" s="23"/>
      <c r="H108" s="5"/>
      <c r="I108" s="5"/>
      <c r="L108" s="4"/>
      <c r="M108" s="1"/>
      <c r="O108" s="4"/>
    </row>
    <row r="109" spans="1:42" outlineLevel="1" x14ac:dyDescent="0.3">
      <c r="A109" s="1" t="s">
        <v>3</v>
      </c>
      <c r="B109" s="1" t="s">
        <v>108</v>
      </c>
      <c r="C109" s="3">
        <v>635000</v>
      </c>
      <c r="F109" s="57" t="s">
        <v>109</v>
      </c>
      <c r="G109" s="23"/>
      <c r="L109" s="4"/>
      <c r="M109" s="5"/>
      <c r="N109" s="33"/>
      <c r="O109" s="4"/>
    </row>
    <row r="110" spans="1:42" outlineLevel="1" x14ac:dyDescent="0.3">
      <c r="A110" s="1" t="s">
        <v>3</v>
      </c>
      <c r="B110" s="1" t="s">
        <v>110</v>
      </c>
      <c r="C110" s="3">
        <f>(3*55000)+250000+200000</f>
        <v>615000</v>
      </c>
      <c r="F110" s="57" t="s">
        <v>111</v>
      </c>
      <c r="G110" s="23"/>
      <c r="L110" s="4"/>
      <c r="N110" s="33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42" outlineLevel="1" x14ac:dyDescent="0.3">
      <c r="A111" s="1" t="s">
        <v>3</v>
      </c>
      <c r="B111" s="1" t="s">
        <v>112</v>
      </c>
      <c r="C111" s="3">
        <f>1750000+10670000</f>
        <v>12420000</v>
      </c>
      <c r="F111" s="57" t="s">
        <v>113</v>
      </c>
      <c r="G111" s="26"/>
    </row>
    <row r="112" spans="1:42" outlineLevel="1" x14ac:dyDescent="0.3">
      <c r="A112" s="1" t="s">
        <v>3</v>
      </c>
      <c r="B112" s="1" t="s">
        <v>114</v>
      </c>
      <c r="C112" s="33">
        <v>1380195</v>
      </c>
      <c r="F112" s="57" t="s">
        <v>115</v>
      </c>
      <c r="G112" s="23"/>
      <c r="AC112" s="1"/>
    </row>
    <row r="113" spans="1:43" outlineLevel="1" x14ac:dyDescent="0.3">
      <c r="A113" s="1" t="s">
        <v>3</v>
      </c>
      <c r="B113" s="1" t="s">
        <v>116</v>
      </c>
      <c r="C113" s="33">
        <f>1000000+4760000+2290000+2300000+1805000</f>
        <v>12155000</v>
      </c>
      <c r="D113" s="23"/>
      <c r="F113" s="68"/>
      <c r="G113" s="23"/>
      <c r="H113" s="5" t="s">
        <v>117</v>
      </c>
      <c r="J113" s="4">
        <f>SUM(H97:H112)</f>
        <v>1773627786</v>
      </c>
      <c r="K113" s="5"/>
      <c r="L113" s="4"/>
    </row>
    <row r="114" spans="1:43" outlineLevel="1" x14ac:dyDescent="0.3">
      <c r="A114" s="1" t="s">
        <v>3</v>
      </c>
      <c r="B114" s="1" t="s">
        <v>118</v>
      </c>
      <c r="C114" s="33">
        <v>1015000</v>
      </c>
      <c r="D114" s="23"/>
      <c r="F114" s="68"/>
      <c r="G114" s="23"/>
      <c r="H114" s="5"/>
      <c r="K114" s="5"/>
      <c r="L114" s="4"/>
    </row>
    <row r="115" spans="1:43" outlineLevel="1" x14ac:dyDescent="0.3">
      <c r="A115" s="1" t="s">
        <v>3</v>
      </c>
      <c r="B115" s="2" t="s">
        <v>119</v>
      </c>
      <c r="C115" s="33">
        <f>76371900+8492000+250000+91000+230000+1155000+80000+2834000</f>
        <v>89503900</v>
      </c>
      <c r="D115" s="1"/>
      <c r="E115" s="1"/>
      <c r="F115" s="7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3" outlineLevel="1" x14ac:dyDescent="0.3">
      <c r="A116" s="1" t="s">
        <v>3</v>
      </c>
      <c r="B116" s="2" t="s">
        <v>120</v>
      </c>
      <c r="C116" s="33">
        <f>[2]BCA!I1459+'[2]BSI EDY'!F35-4400000+[2]BCA!I1555+'[2]BSI EDY'!F75+'[1]BSI EDY'!F105+'[1]BSI EDY'!F139+'[1]BSI EDY'!F186+'[1]BSI EDY'!F189+'[1]BSI EDY'!F217</f>
        <v>810000000</v>
      </c>
      <c r="F116" s="68"/>
      <c r="G116" s="23"/>
      <c r="H116" s="5"/>
      <c r="I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3" outlineLevel="1" x14ac:dyDescent="0.3">
      <c r="A117" s="1" t="s">
        <v>3</v>
      </c>
      <c r="B117" s="2" t="s">
        <v>121</v>
      </c>
      <c r="C117" s="33">
        <f>[1]FEB26!C118+'[1]BSI EDY'!F145+'[1]BSI EDY'!F175+'[1]BSI EDY'!F184+'[1]BSI EDY'!F187+'[1]BSI EDY'!F188+'[1]BSI EDY'!F183+'[1]BSI EDY'!F193+'[1]BSI EDY'!F194+'[1]BSI EDY'!F195+'[1]BSI EDY'!F223-'[1]BSI EDY'!F217-'[1]BSI EDY'!K221+'[1]BSI EDY'!F247</f>
        <v>435473338</v>
      </c>
      <c r="F117" s="68"/>
      <c r="G117" s="23"/>
      <c r="H117" s="5"/>
      <c r="I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3" outlineLevel="1" x14ac:dyDescent="0.3">
      <c r="A118" s="1" t="s">
        <v>3</v>
      </c>
      <c r="B118" s="2" t="s">
        <v>122</v>
      </c>
      <c r="C118" s="65">
        <f>8800000+8800000+4400000</f>
        <v>22000000</v>
      </c>
      <c r="F118" s="68"/>
      <c r="G118" s="23"/>
      <c r="H118" s="5"/>
      <c r="I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3" outlineLevel="1" x14ac:dyDescent="0.3">
      <c r="C119" s="3" t="s">
        <v>36</v>
      </c>
      <c r="D119" s="4">
        <f>SUM(C108:C118)</f>
        <v>1388997433</v>
      </c>
      <c r="F119" s="68"/>
      <c r="H119" s="61" t="s">
        <v>123</v>
      </c>
      <c r="J119" s="4">
        <v>7851333</v>
      </c>
      <c r="K119" s="23"/>
      <c r="L119" s="72">
        <f>D121-J121</f>
        <v>6.999969482421875E-2</v>
      </c>
      <c r="AQ119" s="2"/>
    </row>
    <row r="120" spans="1:43" outlineLevel="1" x14ac:dyDescent="0.3">
      <c r="F120" s="70"/>
      <c r="L120" s="5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</row>
    <row r="121" spans="1:43" ht="15" thickBot="1" x14ac:dyDescent="0.35">
      <c r="C121" s="2" t="s">
        <v>124</v>
      </c>
      <c r="D121" s="38">
        <f>D69+D76+D79+D82+D99+D106+D119</f>
        <v>4237818106.0699997</v>
      </c>
      <c r="E121" s="23"/>
      <c r="F121" s="70"/>
      <c r="G121" s="23"/>
      <c r="H121" s="4" t="s">
        <v>125</v>
      </c>
      <c r="J121" s="38">
        <f>J86+J94+J113+J119</f>
        <v>4237818106</v>
      </c>
    </row>
    <row r="122" spans="1:43" s="4" customFormat="1" ht="15" thickTop="1" x14ac:dyDescent="0.3">
      <c r="A122" s="1"/>
      <c r="B122" s="1"/>
      <c r="C122" s="3"/>
      <c r="F122" s="70"/>
      <c r="H122" s="5"/>
      <c r="I122" s="5"/>
      <c r="L122" s="75"/>
      <c r="N122" s="3"/>
      <c r="O122" s="5"/>
    </row>
    <row r="123" spans="1:43" s="4" customFormat="1" x14ac:dyDescent="0.3">
      <c r="A123" s="1"/>
      <c r="B123" s="2"/>
      <c r="C123" s="76"/>
      <c r="F123" s="70"/>
      <c r="H123" s="5" t="s">
        <v>126</v>
      </c>
      <c r="I123" s="5"/>
      <c r="J123" s="4">
        <f>D61</f>
        <v>7851333.0900000036</v>
      </c>
      <c r="K123" s="23"/>
      <c r="L123" s="77"/>
      <c r="N123" s="3"/>
      <c r="O123" s="5"/>
    </row>
    <row r="124" spans="1:43" s="4" customFormat="1" outlineLevel="1" x14ac:dyDescent="0.3">
      <c r="B124" s="35" t="s">
        <v>127</v>
      </c>
      <c r="C124" s="3">
        <f>C116</f>
        <v>810000000</v>
      </c>
      <c r="F124" s="70"/>
      <c r="H124" s="4" t="s">
        <v>128</v>
      </c>
      <c r="J124" s="4">
        <f>J119-J123</f>
        <v>-9.0000003576278687E-2</v>
      </c>
      <c r="K124" s="4">
        <f>J124-J125</f>
        <v>-9.0000003576278687E-2</v>
      </c>
      <c r="L124" s="77"/>
      <c r="N124" s="3"/>
      <c r="O124" s="5"/>
    </row>
    <row r="125" spans="1:43" s="4" customFormat="1" outlineLevel="1" x14ac:dyDescent="0.3">
      <c r="B125" s="35" t="s">
        <v>129</v>
      </c>
      <c r="C125" s="3">
        <f>C117</f>
        <v>435473338</v>
      </c>
      <c r="H125" s="23"/>
      <c r="I125" s="30"/>
      <c r="J125" s="23"/>
      <c r="K125" s="35"/>
      <c r="L125" s="77"/>
      <c r="N125" s="3"/>
      <c r="O125" s="5"/>
    </row>
    <row r="126" spans="1:43" s="4" customFormat="1" outlineLevel="1" x14ac:dyDescent="0.3">
      <c r="B126" s="58" t="s">
        <v>130</v>
      </c>
      <c r="C126" s="3">
        <f>C118</f>
        <v>22000000</v>
      </c>
      <c r="I126" s="74"/>
      <c r="L126" s="6"/>
      <c r="N126" s="3"/>
      <c r="O126" s="5"/>
    </row>
    <row r="127" spans="1:43" s="4" customFormat="1" ht="15" outlineLevel="2" thickBot="1" x14ac:dyDescent="0.35">
      <c r="B127" s="1" t="s">
        <v>131</v>
      </c>
      <c r="C127" s="36">
        <f>SUM(C124:C126)</f>
        <v>1267473338</v>
      </c>
      <c r="E127" s="4">
        <v>245000000</v>
      </c>
      <c r="F127" s="4" t="s">
        <v>132</v>
      </c>
      <c r="L127" s="6"/>
      <c r="N127" s="3"/>
      <c r="O127" s="5"/>
    </row>
    <row r="128" spans="1:43" s="4" customFormat="1" ht="15" outlineLevel="2" thickTop="1" x14ac:dyDescent="0.3">
      <c r="A128" s="1"/>
      <c r="B128" s="58"/>
      <c r="E128" s="4">
        <v>60000000</v>
      </c>
      <c r="F128" s="4" t="s">
        <v>133</v>
      </c>
      <c r="L128" s="6"/>
      <c r="N128" s="3"/>
      <c r="O128" s="5"/>
    </row>
    <row r="129" spans="1:42" s="4" customFormat="1" outlineLevel="2" x14ac:dyDescent="0.3">
      <c r="B129" s="58" t="s">
        <v>134</v>
      </c>
      <c r="C129" s="3"/>
      <c r="E129" s="4">
        <v>20000000</v>
      </c>
      <c r="F129" s="4" t="s">
        <v>135</v>
      </c>
      <c r="L129" s="6"/>
      <c r="N129" s="3"/>
      <c r="O129" s="5"/>
    </row>
    <row r="130" spans="1:42" s="4" customFormat="1" outlineLevel="3" x14ac:dyDescent="0.3">
      <c r="B130" s="58" t="s">
        <v>136</v>
      </c>
      <c r="C130" s="3">
        <f>'[1]BSI EDY'!F114+'[1]BSI EDY'!F115</f>
        <v>17377200</v>
      </c>
      <c r="E130" s="4">
        <v>15000000</v>
      </c>
      <c r="F130" s="4" t="s">
        <v>137</v>
      </c>
      <c r="L130" s="6"/>
      <c r="N130" s="3"/>
      <c r="O130" s="5"/>
    </row>
    <row r="131" spans="1:42" s="4" customFormat="1" ht="15" outlineLevel="2" thickBot="1" x14ac:dyDescent="0.35">
      <c r="B131" s="78" t="s">
        <v>138</v>
      </c>
      <c r="C131" s="3"/>
      <c r="E131" s="38">
        <f>SUM(E127:E130)</f>
        <v>340000000</v>
      </c>
      <c r="L131" s="6"/>
      <c r="N131" s="3"/>
      <c r="O131" s="5"/>
    </row>
    <row r="132" spans="1:42" s="4" customFormat="1" ht="15" outlineLevel="2" thickTop="1" x14ac:dyDescent="0.3">
      <c r="B132" s="58" t="s">
        <v>139</v>
      </c>
      <c r="C132" s="3">
        <f>'[1]BSI EDY'!F145</f>
        <v>11611000</v>
      </c>
      <c r="L132" s="6"/>
      <c r="N132" s="3"/>
      <c r="O132" s="5"/>
    </row>
    <row r="133" spans="1:42" s="4" customFormat="1" outlineLevel="2" x14ac:dyDescent="0.3">
      <c r="B133" s="78" t="s">
        <v>140</v>
      </c>
      <c r="C133" s="3"/>
      <c r="E133" s="4">
        <f>C127+E131</f>
        <v>1607473338</v>
      </c>
      <c r="F133" s="35" t="s">
        <v>141</v>
      </c>
      <c r="L133" s="6"/>
      <c r="N133" s="3"/>
      <c r="O133" s="5"/>
    </row>
    <row r="134" spans="1:42" s="4" customFormat="1" outlineLevel="3" x14ac:dyDescent="0.3">
      <c r="B134" s="58" t="s">
        <v>142</v>
      </c>
      <c r="C134" s="3">
        <f>'[1]BSI EDY'!F158</f>
        <v>2841000</v>
      </c>
      <c r="E134" s="4">
        <v>50000000</v>
      </c>
      <c r="F134" s="4" t="s">
        <v>143</v>
      </c>
      <c r="L134" s="6"/>
      <c r="N134" s="3"/>
      <c r="O134" s="5"/>
    </row>
    <row r="135" spans="1:42" s="4" customFormat="1" ht="15" outlineLevel="2" thickBot="1" x14ac:dyDescent="0.35">
      <c r="B135" s="58" t="s">
        <v>144</v>
      </c>
      <c r="C135" s="3">
        <f>'[1]BSI EDY'!F159</f>
        <v>6641380</v>
      </c>
      <c r="E135" s="38">
        <f>SUM(E133:E134)</f>
        <v>1657473338</v>
      </c>
      <c r="L135" s="6"/>
      <c r="N135" s="3"/>
      <c r="O135" s="5"/>
    </row>
    <row r="136" spans="1:42" s="4" customFormat="1" ht="15" outlineLevel="2" thickTop="1" x14ac:dyDescent="0.3">
      <c r="B136" s="79" t="s">
        <v>145</v>
      </c>
      <c r="C136" s="3">
        <f>'[1]BSI EDY'!F160</f>
        <v>1622000</v>
      </c>
      <c r="L136" s="6"/>
      <c r="N136" s="3"/>
      <c r="O136" s="5"/>
    </row>
    <row r="137" spans="1:42" s="4" customFormat="1" outlineLevel="2" x14ac:dyDescent="0.3">
      <c r="B137" s="58" t="s">
        <v>146</v>
      </c>
      <c r="C137" s="3">
        <f>'[1]BSI EDY'!F167</f>
        <v>2005000</v>
      </c>
      <c r="L137" s="6"/>
      <c r="N137" s="3"/>
      <c r="O137" s="5"/>
    </row>
    <row r="138" spans="1:42" s="4" customFormat="1" outlineLevel="2" x14ac:dyDescent="0.3">
      <c r="B138" s="58" t="s">
        <v>147</v>
      </c>
      <c r="C138" s="3">
        <f>'[1]BSI EDY'!F163+'[1]BSI EDY'!F165+'[1]BSI EDY'!F166+196500</f>
        <v>1044000</v>
      </c>
      <c r="L138" s="6"/>
      <c r="N138" s="3"/>
      <c r="O138" s="5"/>
    </row>
    <row r="139" spans="1:42" s="4" customFormat="1" outlineLevel="2" x14ac:dyDescent="0.3">
      <c r="B139" s="58" t="s">
        <v>148</v>
      </c>
      <c r="C139" s="3">
        <v>43350000</v>
      </c>
      <c r="L139" s="6"/>
      <c r="N139" s="3"/>
      <c r="O139" s="5"/>
    </row>
    <row r="140" spans="1:42" s="3" customFormat="1" outlineLevel="2" x14ac:dyDescent="0.3">
      <c r="A140" s="4"/>
      <c r="B140" s="58" t="s">
        <v>149</v>
      </c>
      <c r="C140" s="3">
        <f>'[1]BSI EDY'!F162</f>
        <v>10900000</v>
      </c>
      <c r="D140" s="4"/>
      <c r="E140" s="4"/>
      <c r="F140" s="4"/>
      <c r="G140" s="4"/>
      <c r="H140" s="4"/>
      <c r="I140" s="4"/>
      <c r="J140" s="4"/>
      <c r="K140" s="4"/>
      <c r="L140" s="6"/>
      <c r="M140" s="4"/>
      <c r="O140" s="5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</row>
    <row r="141" spans="1:42" s="3" customFormat="1" outlineLevel="2" x14ac:dyDescent="0.3">
      <c r="B141" s="58" t="s">
        <v>150</v>
      </c>
      <c r="C141" s="3">
        <f>'[1]BSI EDY'!F161</f>
        <v>44996100</v>
      </c>
      <c r="D141" s="4"/>
      <c r="E141" s="4"/>
      <c r="F141" s="4"/>
      <c r="G141" s="4"/>
      <c r="H141" s="4"/>
      <c r="I141" s="4"/>
      <c r="J141" s="4"/>
      <c r="K141" s="4"/>
      <c r="L141" s="6"/>
      <c r="M141" s="4"/>
      <c r="O141" s="5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</row>
    <row r="142" spans="1:42" s="3" customFormat="1" outlineLevel="2" x14ac:dyDescent="0.3">
      <c r="B142" t="s">
        <v>151</v>
      </c>
      <c r="C142" s="80">
        <v>1023500</v>
      </c>
      <c r="D142" s="4"/>
      <c r="E142" s="4"/>
      <c r="F142" s="4"/>
      <c r="G142" s="4"/>
      <c r="H142" s="4"/>
      <c r="I142" s="4"/>
      <c r="J142" s="4"/>
      <c r="K142" s="4"/>
      <c r="L142" s="6"/>
      <c r="M142" s="4"/>
      <c r="O142" s="5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</row>
    <row r="143" spans="1:42" s="3" customFormat="1" ht="15" outlineLevel="1" thickBot="1" x14ac:dyDescent="0.35">
      <c r="B143" s="58" t="s">
        <v>36</v>
      </c>
      <c r="C143" s="36">
        <f>SUM(C134:C142)</f>
        <v>114422980</v>
      </c>
      <c r="D143" s="4"/>
      <c r="E143" s="4"/>
      <c r="F143" s="4"/>
      <c r="G143" s="4"/>
      <c r="H143" s="4"/>
      <c r="I143" s="4"/>
      <c r="J143" s="4"/>
      <c r="K143" s="4"/>
      <c r="L143" s="6"/>
      <c r="M143" s="4"/>
      <c r="O143" s="5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</row>
    <row r="144" spans="1:42" s="3" customFormat="1" ht="15" outlineLevel="1" thickTop="1" x14ac:dyDescent="0.3">
      <c r="B144" s="58"/>
      <c r="D144" s="4"/>
      <c r="E144" s="4"/>
      <c r="F144" s="4"/>
      <c r="G144" s="4"/>
      <c r="H144" s="4"/>
      <c r="I144" s="4"/>
      <c r="J144" s="4"/>
      <c r="K144" s="4"/>
      <c r="L144" s="6"/>
      <c r="M144" s="4"/>
      <c r="O144" s="5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</row>
    <row r="145" spans="1:42" s="3" customFormat="1" outlineLevel="1" x14ac:dyDescent="0.3">
      <c r="B145" s="78" t="s">
        <v>152</v>
      </c>
      <c r="D145" s="4"/>
      <c r="E145" s="4"/>
      <c r="F145" s="4"/>
      <c r="G145" s="4"/>
      <c r="H145" s="4"/>
      <c r="I145" s="4"/>
      <c r="J145" s="4"/>
      <c r="K145" s="4"/>
      <c r="L145" s="6"/>
      <c r="M145" s="4"/>
      <c r="O145" s="5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</row>
    <row r="146" spans="1:42" s="3" customFormat="1" outlineLevel="2" x14ac:dyDescent="0.3">
      <c r="B146" s="78" t="s">
        <v>153</v>
      </c>
      <c r="C146" s="3">
        <f>'[1]BSI EDY'!F183</f>
        <v>50000000</v>
      </c>
      <c r="D146" s="4"/>
      <c r="E146" s="4"/>
      <c r="F146" s="4"/>
      <c r="G146" s="4"/>
      <c r="H146" s="4"/>
      <c r="I146" s="4"/>
      <c r="J146" s="4"/>
      <c r="K146" s="4"/>
      <c r="L146" s="6"/>
      <c r="M146" s="4"/>
      <c r="O146" s="5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</row>
    <row r="147" spans="1:42" s="3" customFormat="1" outlineLevel="2" x14ac:dyDescent="0.3">
      <c r="B147" s="58" t="s">
        <v>154</v>
      </c>
      <c r="C147" s="3">
        <f>'[1]BSI EDY'!F184</f>
        <v>295000</v>
      </c>
      <c r="D147" s="4"/>
      <c r="E147" s="4"/>
      <c r="F147" s="4"/>
      <c r="G147" s="4"/>
      <c r="H147" s="4"/>
      <c r="I147" s="4"/>
      <c r="J147" s="4"/>
      <c r="K147" s="4"/>
      <c r="L147" s="6"/>
      <c r="M147" s="4"/>
      <c r="O147" s="5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</row>
    <row r="148" spans="1:42" s="3" customFormat="1" outlineLevel="2" x14ac:dyDescent="0.3">
      <c r="B148" s="58" t="s">
        <v>155</v>
      </c>
      <c r="C148" s="3">
        <f>'[1]BSI EDY'!F187</f>
        <v>2258240</v>
      </c>
      <c r="D148" s="4"/>
      <c r="E148" s="4"/>
      <c r="F148" s="4"/>
      <c r="G148" s="4"/>
      <c r="H148" s="4"/>
      <c r="I148" s="4"/>
      <c r="J148" s="4"/>
      <c r="K148" s="4"/>
      <c r="L148" s="6"/>
      <c r="M148" s="4"/>
      <c r="O148" s="5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</row>
    <row r="149" spans="1:42" s="3" customFormat="1" outlineLevel="2" x14ac:dyDescent="0.3">
      <c r="B149" s="58" t="s">
        <v>156</v>
      </c>
      <c r="C149" s="3">
        <f>'[1]BSI EDY'!F188</f>
        <v>56854430</v>
      </c>
      <c r="D149" s="4"/>
      <c r="E149" s="4"/>
      <c r="F149" s="4"/>
      <c r="G149" s="4"/>
      <c r="H149" s="4"/>
      <c r="I149" s="4"/>
      <c r="J149" s="4"/>
      <c r="K149" s="4"/>
      <c r="L149" s="6"/>
      <c r="M149" s="4"/>
      <c r="O149" s="5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</row>
    <row r="150" spans="1:42" s="3" customFormat="1" outlineLevel="2" x14ac:dyDescent="0.3">
      <c r="A150" s="81"/>
      <c r="B150" s="82" t="s">
        <v>157</v>
      </c>
      <c r="C150" s="83">
        <v>20408500</v>
      </c>
      <c r="D150" s="84"/>
      <c r="E150" s="83">
        <f>2500-2500</f>
        <v>0</v>
      </c>
      <c r="F150" s="33"/>
      <c r="G150" s="4"/>
      <c r="H150" s="4"/>
      <c r="I150" s="4"/>
      <c r="J150" s="4"/>
      <c r="K150" s="4"/>
      <c r="L150" s="6"/>
      <c r="M150" s="4"/>
      <c r="O150" s="5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</row>
    <row r="151" spans="1:42" s="3" customFormat="1" outlineLevel="2" x14ac:dyDescent="0.3">
      <c r="A151" s="81"/>
      <c r="B151" s="82" t="s">
        <v>157</v>
      </c>
      <c r="C151" s="83">
        <v>2975000</v>
      </c>
      <c r="D151" s="84"/>
      <c r="E151" s="83">
        <f>2500-2500</f>
        <v>0</v>
      </c>
      <c r="F151" s="33"/>
      <c r="G151" s="4"/>
      <c r="H151" s="4"/>
      <c r="I151" s="4"/>
      <c r="J151" s="4"/>
      <c r="K151" s="4"/>
      <c r="L151" s="6"/>
      <c r="M151" s="4"/>
      <c r="O151" s="5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</row>
    <row r="152" spans="1:42" s="3" customFormat="1" outlineLevel="2" x14ac:dyDescent="0.3">
      <c r="A152" s="81"/>
      <c r="B152" s="82" t="s">
        <v>157</v>
      </c>
      <c r="C152" s="83">
        <v>1796000</v>
      </c>
      <c r="D152" s="84"/>
      <c r="E152" s="83">
        <f>2500-2500</f>
        <v>0</v>
      </c>
      <c r="F152" s="33"/>
      <c r="G152" s="4"/>
      <c r="H152" s="4"/>
      <c r="I152" s="4"/>
      <c r="J152" s="4"/>
      <c r="K152" s="4"/>
      <c r="L152" s="6"/>
      <c r="M152" s="4"/>
      <c r="O152" s="5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</row>
    <row r="153" spans="1:42" s="3" customFormat="1" outlineLevel="2" x14ac:dyDescent="0.3">
      <c r="B153" s="58"/>
      <c r="C153" s="33"/>
      <c r="D153" s="23"/>
      <c r="E153" s="23"/>
      <c r="F153" s="23"/>
      <c r="G153" s="4"/>
      <c r="H153" s="4"/>
      <c r="I153" s="4"/>
      <c r="J153" s="4"/>
      <c r="K153" s="4"/>
      <c r="L153" s="6"/>
      <c r="M153" s="4"/>
      <c r="O153" s="5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</row>
    <row r="154" spans="1:42" s="3" customFormat="1" outlineLevel="2" x14ac:dyDescent="0.3">
      <c r="B154" s="58"/>
      <c r="D154" s="4"/>
      <c r="E154" s="4"/>
      <c r="F154" s="4"/>
      <c r="G154" s="4"/>
      <c r="H154" s="4"/>
      <c r="I154" s="4"/>
      <c r="J154" s="4"/>
      <c r="K154" s="4"/>
      <c r="L154" s="6"/>
      <c r="M154" s="4"/>
      <c r="O154" s="5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</row>
    <row r="155" spans="1:42" s="3" customFormat="1" outlineLevel="2" x14ac:dyDescent="0.3">
      <c r="B155" s="58"/>
      <c r="D155" s="4"/>
      <c r="E155" s="4"/>
      <c r="F155" s="4"/>
      <c r="G155" s="4"/>
      <c r="H155" s="4"/>
      <c r="I155" s="4"/>
      <c r="J155" s="4"/>
      <c r="K155" s="4"/>
      <c r="L155" s="6"/>
      <c r="M155" s="4"/>
      <c r="O155" s="5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</row>
    <row r="156" spans="1:42" s="3" customFormat="1" ht="15" outlineLevel="1" thickBot="1" x14ac:dyDescent="0.35">
      <c r="B156" s="58" t="s">
        <v>36</v>
      </c>
      <c r="C156" s="36">
        <f>SUM(C146:C155)</f>
        <v>134587170</v>
      </c>
      <c r="D156" s="4"/>
      <c r="E156" s="4"/>
      <c r="F156" s="4"/>
      <c r="G156" s="4"/>
      <c r="H156" s="4"/>
      <c r="I156" s="4"/>
      <c r="J156" s="4"/>
      <c r="K156" s="4"/>
      <c r="L156" s="6"/>
      <c r="M156" s="4"/>
      <c r="O156" s="5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</row>
    <row r="157" spans="1:42" s="3" customFormat="1" ht="15" outlineLevel="1" thickTop="1" x14ac:dyDescent="0.3">
      <c r="B157" s="58"/>
      <c r="D157" s="4"/>
      <c r="E157" s="4"/>
      <c r="F157" s="4"/>
      <c r="G157" s="4"/>
      <c r="H157" s="4"/>
      <c r="I157" s="4"/>
      <c r="J157" s="4"/>
      <c r="K157" s="4"/>
      <c r="L157" s="6"/>
      <c r="M157" s="4"/>
      <c r="O157" s="5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</row>
    <row r="158" spans="1:42" s="3" customFormat="1" outlineLevel="1" x14ac:dyDescent="0.3">
      <c r="B158" s="58"/>
      <c r="D158" s="4"/>
      <c r="E158" s="4"/>
      <c r="F158" s="4"/>
      <c r="G158" s="4"/>
      <c r="H158" s="4"/>
      <c r="I158" s="4"/>
      <c r="J158" s="4"/>
      <c r="K158" s="4"/>
      <c r="L158" s="6"/>
      <c r="M158" s="4"/>
      <c r="O158" s="5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</row>
    <row r="159" spans="1:42" s="3" customFormat="1" x14ac:dyDescent="0.3">
      <c r="B159" s="78" t="s">
        <v>158</v>
      </c>
      <c r="D159" s="4"/>
      <c r="E159" s="4"/>
      <c r="F159" s="4"/>
      <c r="G159" s="4"/>
      <c r="H159" s="4"/>
      <c r="I159" s="4"/>
      <c r="J159" s="4"/>
      <c r="K159" s="4"/>
      <c r="L159" s="6"/>
      <c r="M159" s="4"/>
      <c r="O159" s="5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</row>
    <row r="160" spans="1:42" s="3" customFormat="1" x14ac:dyDescent="0.3">
      <c r="B160" s="82" t="s">
        <v>159</v>
      </c>
      <c r="C160" s="83">
        <v>156000</v>
      </c>
      <c r="D160" s="4"/>
      <c r="E160" s="4"/>
      <c r="F160" s="4"/>
      <c r="G160" s="4"/>
      <c r="H160" s="4"/>
      <c r="I160" s="4"/>
      <c r="J160" s="4"/>
      <c r="K160" s="4"/>
      <c r="L160" s="6"/>
      <c r="M160" s="4"/>
      <c r="O160" s="5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</row>
    <row r="161" spans="2:42" s="3" customFormat="1" x14ac:dyDescent="0.3">
      <c r="B161" s="82" t="s">
        <v>160</v>
      </c>
      <c r="C161" s="83">
        <v>20000000</v>
      </c>
      <c r="D161" s="4"/>
      <c r="E161" s="4"/>
      <c r="F161" s="4"/>
      <c r="G161" s="4"/>
      <c r="H161" s="4"/>
      <c r="I161" s="4"/>
      <c r="J161" s="4"/>
      <c r="K161" s="4"/>
      <c r="L161" s="6"/>
      <c r="M161" s="4"/>
      <c r="O161" s="5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</row>
    <row r="162" spans="2:42" s="3" customFormat="1" x14ac:dyDescent="0.3">
      <c r="B162" s="82" t="s">
        <v>161</v>
      </c>
      <c r="C162" s="83">
        <v>1598000</v>
      </c>
      <c r="D162" s="84"/>
      <c r="E162" s="83"/>
      <c r="G162" s="4"/>
      <c r="H162" s="4"/>
      <c r="I162" s="4"/>
      <c r="J162" s="4"/>
      <c r="K162" s="4"/>
      <c r="L162" s="6"/>
      <c r="M162" s="4"/>
      <c r="O162" s="5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 spans="2:42" s="3" customFormat="1" x14ac:dyDescent="0.3">
      <c r="B163" s="82" t="s">
        <v>162</v>
      </c>
      <c r="C163" s="84">
        <v>2421800</v>
      </c>
      <c r="D163" s="84"/>
      <c r="E163" s="83"/>
      <c r="G163" s="4"/>
      <c r="H163" s="4"/>
      <c r="I163" s="4"/>
      <c r="J163" s="4"/>
      <c r="K163" s="4"/>
      <c r="L163" s="6"/>
      <c r="M163" s="4"/>
      <c r="O163" s="5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</row>
    <row r="164" spans="2:42" s="3" customFormat="1" x14ac:dyDescent="0.3">
      <c r="B164" s="82" t="s">
        <v>160</v>
      </c>
      <c r="C164" s="83">
        <v>30000000</v>
      </c>
      <c r="D164" s="84"/>
      <c r="E164" s="83"/>
      <c r="G164" s="4"/>
      <c r="H164" s="4"/>
      <c r="I164" s="4"/>
      <c r="J164" s="4"/>
      <c r="K164" s="4"/>
      <c r="L164" s="6"/>
      <c r="M164" s="4"/>
      <c r="O164" s="5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</row>
    <row r="165" spans="2:42" s="3" customFormat="1" x14ac:dyDescent="0.3">
      <c r="B165" s="82" t="s">
        <v>162</v>
      </c>
      <c r="C165" s="83">
        <v>2041500</v>
      </c>
      <c r="D165" s="84"/>
      <c r="E165" s="83"/>
      <c r="G165" s="4"/>
      <c r="H165" s="4"/>
      <c r="I165" s="4"/>
      <c r="J165" s="4"/>
      <c r="K165" s="4"/>
      <c r="L165" s="6"/>
      <c r="M165" s="4"/>
      <c r="O165" s="5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</row>
    <row r="166" spans="2:42" s="3" customFormat="1" x14ac:dyDescent="0.3">
      <c r="B166" s="82" t="s">
        <v>163</v>
      </c>
      <c r="C166" s="83">
        <v>265043</v>
      </c>
      <c r="D166" s="84"/>
      <c r="E166" s="83"/>
      <c r="G166" s="4"/>
      <c r="H166" s="4"/>
      <c r="I166" s="4"/>
      <c r="J166" s="4"/>
      <c r="K166" s="4"/>
      <c r="L166" s="6"/>
      <c r="M166" s="4"/>
      <c r="O166" s="5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</row>
    <row r="167" spans="2:42" s="3" customFormat="1" x14ac:dyDescent="0.3">
      <c r="B167" s="34" t="s">
        <v>164</v>
      </c>
      <c r="C167" s="3">
        <f>-'[1]BSI EDY'!K221</f>
        <v>-855855</v>
      </c>
      <c r="D167" s="84"/>
      <c r="E167" s="83"/>
      <c r="G167" s="4"/>
      <c r="H167" s="4"/>
      <c r="I167" s="4"/>
      <c r="J167" s="4"/>
      <c r="K167" s="4"/>
      <c r="L167" s="6"/>
      <c r="M167" s="4"/>
      <c r="O167" s="5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</row>
    <row r="168" spans="2:42" s="3" customFormat="1" ht="15" thickBot="1" x14ac:dyDescent="0.35">
      <c r="B168" s="58" t="s">
        <v>36</v>
      </c>
      <c r="C168" s="36">
        <f>SUM(C160:C167)</f>
        <v>55626488</v>
      </c>
      <c r="D168" s="84"/>
      <c r="E168" s="83"/>
      <c r="G168" s="4"/>
      <c r="H168" s="4"/>
      <c r="I168" s="4"/>
      <c r="J168" s="4"/>
      <c r="K168" s="4"/>
      <c r="L168" s="6"/>
      <c r="M168" s="4"/>
      <c r="O168" s="5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</row>
    <row r="169" spans="2:42" s="3" customFormat="1" ht="15" thickTop="1" x14ac:dyDescent="0.3">
      <c r="B169" s="82"/>
      <c r="C169" s="83"/>
      <c r="D169" s="84"/>
      <c r="E169" s="83"/>
      <c r="G169" s="4"/>
      <c r="H169" s="4"/>
      <c r="I169" s="4"/>
      <c r="J169" s="4"/>
      <c r="K169" s="4"/>
      <c r="L169" s="6"/>
      <c r="M169" s="4"/>
      <c r="O169" s="5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</row>
    <row r="170" spans="2:42" s="3" customFormat="1" x14ac:dyDescent="0.3">
      <c r="E170" s="83"/>
      <c r="G170" s="4"/>
      <c r="H170" s="4"/>
      <c r="I170" s="4"/>
      <c r="J170" s="4"/>
      <c r="K170" s="4"/>
      <c r="L170" s="6"/>
      <c r="M170" s="4"/>
      <c r="O170" s="5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</row>
    <row r="171" spans="2:42" s="3" customFormat="1" x14ac:dyDescent="0.3">
      <c r="B171" s="78" t="s">
        <v>158</v>
      </c>
      <c r="D171" s="84"/>
      <c r="E171" s="83"/>
      <c r="G171" s="4"/>
      <c r="H171" s="4"/>
      <c r="I171" s="4"/>
      <c r="J171" s="4"/>
      <c r="K171" s="4"/>
      <c r="L171" s="6"/>
      <c r="M171" s="4"/>
      <c r="O171" s="5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</row>
    <row r="172" spans="2:42" s="3" customFormat="1" x14ac:dyDescent="0.3">
      <c r="B172" s="82" t="s">
        <v>162</v>
      </c>
      <c r="C172" s="83">
        <v>2072000</v>
      </c>
      <c r="D172" s="84"/>
      <c r="E172" s="83"/>
      <c r="G172" s="4"/>
      <c r="H172" s="4"/>
      <c r="I172" s="4"/>
      <c r="J172" s="4"/>
      <c r="K172" s="4"/>
      <c r="L172" s="6"/>
      <c r="M172" s="4"/>
      <c r="O172" s="5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</row>
    <row r="173" spans="2:42" s="3" customFormat="1" x14ac:dyDescent="0.3">
      <c r="B173" s="82"/>
      <c r="C173" s="83"/>
      <c r="D173" s="23"/>
      <c r="E173" s="23"/>
      <c r="F173" s="4"/>
      <c r="G173" s="4"/>
      <c r="H173" s="4"/>
      <c r="I173" s="4"/>
      <c r="J173" s="4"/>
      <c r="K173" s="4"/>
      <c r="L173" s="6"/>
      <c r="M173" s="4"/>
      <c r="O173" s="5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</row>
    <row r="174" spans="2:42" s="3" customFormat="1" x14ac:dyDescent="0.3">
      <c r="B174" s="58"/>
      <c r="C174" s="33"/>
      <c r="D174" s="23"/>
      <c r="E174" s="23"/>
      <c r="F174" s="4"/>
      <c r="G174" s="4"/>
      <c r="H174" s="4"/>
      <c r="I174" s="4"/>
      <c r="J174" s="4"/>
      <c r="K174" s="4"/>
      <c r="L174" s="6"/>
      <c r="M174" s="4"/>
      <c r="O174" s="5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</row>
    <row r="175" spans="2:42" s="3" customFormat="1" x14ac:dyDescent="0.3">
      <c r="B175" s="58"/>
      <c r="C175" s="33"/>
      <c r="D175" s="23"/>
      <c r="E175" s="23"/>
      <c r="F175" s="4"/>
      <c r="G175" s="4"/>
      <c r="H175" s="4"/>
      <c r="I175" s="4"/>
      <c r="J175" s="4"/>
      <c r="K175" s="4"/>
      <c r="L175" s="6"/>
      <c r="M175" s="4"/>
      <c r="O175" s="5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</row>
    <row r="176" spans="2:42" s="3" customFormat="1" ht="15" thickBot="1" x14ac:dyDescent="0.35">
      <c r="B176" s="58" t="s">
        <v>36</v>
      </c>
      <c r="C176" s="36">
        <f>SUM(C172:C175)</f>
        <v>2072000</v>
      </c>
      <c r="D176" s="23"/>
      <c r="E176" s="23"/>
      <c r="F176" s="4"/>
      <c r="G176" s="4"/>
      <c r="H176" s="4"/>
      <c r="I176" s="4"/>
      <c r="J176" s="4"/>
      <c r="K176" s="4"/>
      <c r="L176" s="6"/>
      <c r="M176" s="4"/>
      <c r="O176" s="5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</row>
    <row r="177" spans="2:42" s="3" customFormat="1" ht="15" thickTop="1" x14ac:dyDescent="0.3">
      <c r="B177" s="3" t="s">
        <v>131</v>
      </c>
      <c r="C177" s="3">
        <f>C130+C132+C143+C156+C168+C176</f>
        <v>335696838</v>
      </c>
      <c r="D177" s="23"/>
      <c r="E177" s="23"/>
      <c r="F177" s="4"/>
      <c r="G177" s="4"/>
      <c r="H177" s="4"/>
      <c r="I177" s="4"/>
      <c r="J177" s="4"/>
      <c r="K177" s="4"/>
      <c r="L177" s="6"/>
      <c r="M177" s="4"/>
      <c r="O177" s="5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</row>
    <row r="178" spans="2:42" s="3" customFormat="1" x14ac:dyDescent="0.3">
      <c r="B178" s="58"/>
      <c r="C178" s="33"/>
      <c r="D178" s="23"/>
      <c r="E178" s="23"/>
      <c r="F178" s="4"/>
      <c r="G178" s="4"/>
      <c r="H178" s="4"/>
      <c r="I178" s="4"/>
      <c r="J178" s="4"/>
      <c r="K178" s="4"/>
      <c r="L178" s="6"/>
      <c r="M178" s="4"/>
      <c r="O178" s="5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</row>
    <row r="179" spans="2:42" s="3" customFormat="1" x14ac:dyDescent="0.3">
      <c r="B179" s="58"/>
      <c r="C179" s="33"/>
      <c r="D179" s="23"/>
      <c r="E179" s="23"/>
      <c r="F179" s="4"/>
      <c r="G179" s="4"/>
      <c r="H179" s="4"/>
      <c r="I179" s="4"/>
      <c r="J179" s="4"/>
      <c r="K179" s="4"/>
      <c r="L179" s="6"/>
      <c r="M179" s="4"/>
      <c r="O179" s="5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</row>
    <row r="180" spans="2:42" s="3" customFormat="1" x14ac:dyDescent="0.3">
      <c r="B180" s="58"/>
      <c r="C180" s="33"/>
      <c r="D180" s="23"/>
      <c r="E180" s="23"/>
      <c r="F180" s="4"/>
      <c r="G180" s="4"/>
      <c r="H180" s="4"/>
      <c r="I180" s="4"/>
      <c r="J180" s="4"/>
      <c r="K180" s="4"/>
      <c r="L180" s="6"/>
      <c r="M180" s="4"/>
      <c r="O180" s="5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</row>
    <row r="181" spans="2:42" s="3" customFormat="1" x14ac:dyDescent="0.3">
      <c r="B181" s="58"/>
      <c r="C181" s="33"/>
      <c r="D181" s="23"/>
      <c r="E181" s="23"/>
      <c r="F181" s="4"/>
      <c r="G181" s="4"/>
      <c r="H181" s="4"/>
      <c r="I181" s="4"/>
      <c r="J181" s="4"/>
      <c r="K181" s="4"/>
      <c r="L181" s="6"/>
      <c r="M181" s="4"/>
      <c r="O181" s="5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</row>
    <row r="182" spans="2:42" s="3" customFormat="1" x14ac:dyDescent="0.3">
      <c r="B182" s="58"/>
      <c r="C182" s="33"/>
      <c r="D182" s="23"/>
      <c r="E182" s="23"/>
      <c r="F182" s="4"/>
      <c r="G182" s="4"/>
      <c r="H182" s="4"/>
      <c r="I182" s="4"/>
      <c r="J182" s="4"/>
      <c r="K182" s="4"/>
      <c r="L182" s="6"/>
      <c r="M182" s="4"/>
      <c r="O182" s="5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</row>
    <row r="183" spans="2:42" s="3" customFormat="1" x14ac:dyDescent="0.3">
      <c r="B183" s="58"/>
      <c r="C183" s="33"/>
      <c r="D183" s="23"/>
      <c r="E183" s="23"/>
      <c r="F183" s="4"/>
      <c r="G183" s="4"/>
      <c r="H183" s="4"/>
      <c r="I183" s="4"/>
      <c r="J183" s="4"/>
      <c r="K183" s="4"/>
      <c r="L183" s="6"/>
      <c r="M183" s="4"/>
      <c r="O183" s="5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</row>
    <row r="184" spans="2:42" s="3" customFormat="1" x14ac:dyDescent="0.3">
      <c r="B184" s="58"/>
      <c r="C184" s="33"/>
      <c r="D184" s="23"/>
      <c r="E184" s="23"/>
      <c r="F184" s="4"/>
      <c r="G184" s="4"/>
      <c r="H184" s="4"/>
      <c r="I184" s="4"/>
      <c r="J184" s="4"/>
      <c r="K184" s="4"/>
      <c r="L184" s="6"/>
      <c r="M184" s="4"/>
      <c r="O184" s="5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</row>
    <row r="185" spans="2:42" s="3" customFormat="1" x14ac:dyDescent="0.3">
      <c r="B185" s="58"/>
      <c r="C185" s="33"/>
      <c r="D185" s="23"/>
      <c r="E185" s="23"/>
      <c r="F185" s="4"/>
      <c r="G185" s="4"/>
      <c r="H185" s="4"/>
      <c r="I185" s="4"/>
      <c r="J185" s="4"/>
      <c r="K185" s="4"/>
      <c r="L185" s="6"/>
      <c r="M185" s="4"/>
      <c r="O185" s="5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</row>
    <row r="186" spans="2:42" s="3" customFormat="1" x14ac:dyDescent="0.3">
      <c r="B186" s="58"/>
      <c r="C186" s="33"/>
      <c r="D186" s="23"/>
      <c r="E186" s="23"/>
      <c r="F186" s="4"/>
      <c r="G186" s="4"/>
      <c r="H186" s="4"/>
      <c r="I186" s="4"/>
      <c r="J186" s="4"/>
      <c r="K186" s="4"/>
      <c r="L186" s="6"/>
      <c r="M186" s="4"/>
      <c r="O186" s="5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</row>
    <row r="187" spans="2:42" s="3" customFormat="1" x14ac:dyDescent="0.3">
      <c r="B187" s="58"/>
      <c r="D187" s="4"/>
      <c r="E187" s="4"/>
      <c r="F187" s="4"/>
      <c r="G187" s="4"/>
      <c r="H187" s="4"/>
      <c r="I187" s="4"/>
      <c r="J187" s="4"/>
      <c r="K187" s="4"/>
      <c r="L187" s="6"/>
      <c r="M187" s="4"/>
      <c r="O187" s="5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</row>
    <row r="188" spans="2:42" s="3" customFormat="1" x14ac:dyDescent="0.3">
      <c r="B188" s="58"/>
      <c r="D188" s="4"/>
      <c r="E188" s="4"/>
      <c r="F188" s="4"/>
      <c r="G188" s="4"/>
      <c r="H188" s="4"/>
      <c r="I188" s="4"/>
      <c r="J188" s="4"/>
      <c r="K188" s="4"/>
      <c r="L188" s="6"/>
      <c r="M188" s="4"/>
      <c r="O188" s="5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</row>
    <row r="189" spans="2:42" s="3" customFormat="1" x14ac:dyDescent="0.3">
      <c r="B189" s="58"/>
      <c r="D189" s="4"/>
      <c r="E189" s="4"/>
      <c r="F189" s="4"/>
      <c r="G189" s="4"/>
      <c r="H189" s="4"/>
      <c r="I189" s="4"/>
      <c r="J189" s="4"/>
      <c r="K189" s="4"/>
      <c r="L189" s="6"/>
      <c r="M189" s="4"/>
      <c r="O189" s="5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</row>
    <row r="190" spans="2:42" s="3" customFormat="1" x14ac:dyDescent="0.3">
      <c r="B190" s="58"/>
      <c r="D190" s="4"/>
      <c r="E190" s="4"/>
      <c r="F190" s="4"/>
      <c r="G190" s="4"/>
      <c r="H190" s="4"/>
      <c r="I190" s="4"/>
      <c r="J190" s="4"/>
      <c r="K190" s="4"/>
      <c r="L190" s="6"/>
      <c r="M190" s="4"/>
      <c r="O190" s="5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</row>
    <row r="191" spans="2:42" s="3" customFormat="1" x14ac:dyDescent="0.3">
      <c r="B191" s="58"/>
      <c r="D191" s="4"/>
      <c r="E191" s="4"/>
      <c r="F191" s="4"/>
      <c r="G191" s="4"/>
      <c r="H191" s="4"/>
      <c r="I191" s="4"/>
      <c r="J191" s="4"/>
      <c r="K191" s="4"/>
      <c r="L191" s="6"/>
      <c r="M191" s="4"/>
      <c r="O191" s="5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</row>
    <row r="192" spans="2:42" s="3" customFormat="1" x14ac:dyDescent="0.3">
      <c r="B192" s="58"/>
      <c r="D192" s="4"/>
      <c r="E192" s="4"/>
      <c r="F192" s="4"/>
      <c r="G192" s="4"/>
      <c r="H192" s="4"/>
      <c r="I192" s="4"/>
      <c r="J192" s="4"/>
      <c r="K192" s="4"/>
      <c r="L192" s="6"/>
      <c r="M192" s="4"/>
      <c r="O192" s="5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</row>
    <row r="193" spans="2:42" s="3" customFormat="1" x14ac:dyDescent="0.3">
      <c r="B193" s="58"/>
      <c r="D193" s="4"/>
      <c r="E193" s="4"/>
      <c r="F193" s="4"/>
      <c r="G193" s="4"/>
      <c r="H193" s="4"/>
      <c r="I193" s="4"/>
      <c r="J193" s="4"/>
      <c r="K193" s="4"/>
      <c r="L193" s="6"/>
      <c r="M193" s="4"/>
      <c r="O193" s="5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</row>
    <row r="194" spans="2:42" s="3" customFormat="1" x14ac:dyDescent="0.3">
      <c r="B194" s="58"/>
      <c r="D194" s="4"/>
      <c r="E194" s="4"/>
      <c r="F194" s="4"/>
      <c r="G194" s="4"/>
      <c r="H194" s="4"/>
      <c r="I194" s="4"/>
      <c r="J194" s="4"/>
      <c r="K194" s="4"/>
      <c r="L194" s="6"/>
      <c r="M194" s="4"/>
      <c r="O194" s="5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</row>
    <row r="195" spans="2:42" s="3" customFormat="1" x14ac:dyDescent="0.3">
      <c r="B195" s="58"/>
      <c r="D195" s="4"/>
      <c r="E195" s="4"/>
      <c r="F195" s="4"/>
      <c r="G195" s="4"/>
      <c r="H195" s="4"/>
      <c r="I195" s="4"/>
      <c r="J195" s="4"/>
      <c r="K195" s="4"/>
      <c r="L195" s="6"/>
      <c r="M195" s="4"/>
      <c r="O195" s="5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</row>
    <row r="196" spans="2:42" s="3" customFormat="1" x14ac:dyDescent="0.3">
      <c r="B196" s="58"/>
      <c r="D196" s="4"/>
      <c r="E196" s="4"/>
      <c r="F196" s="4"/>
      <c r="G196" s="4"/>
      <c r="H196" s="4"/>
      <c r="I196" s="4"/>
      <c r="J196" s="4"/>
      <c r="K196" s="4"/>
      <c r="L196" s="6"/>
      <c r="M196" s="4"/>
      <c r="O196" s="5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</row>
    <row r="197" spans="2:42" s="3" customFormat="1" x14ac:dyDescent="0.3">
      <c r="B197" s="58"/>
      <c r="D197" s="4"/>
      <c r="E197" s="4"/>
      <c r="F197" s="4"/>
      <c r="G197" s="4"/>
      <c r="H197" s="4"/>
      <c r="I197" s="4"/>
      <c r="J197" s="4"/>
      <c r="K197" s="4"/>
      <c r="L197" s="6"/>
      <c r="M197" s="4"/>
      <c r="O197" s="5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</row>
    <row r="198" spans="2:42" s="3" customFormat="1" x14ac:dyDescent="0.3">
      <c r="B198" s="58"/>
      <c r="D198" s="4"/>
      <c r="E198" s="4"/>
      <c r="F198" s="4"/>
      <c r="G198" s="4"/>
      <c r="H198" s="4"/>
      <c r="I198" s="4"/>
      <c r="J198" s="4"/>
      <c r="K198" s="4"/>
      <c r="L198" s="6"/>
      <c r="M198" s="4"/>
      <c r="O198" s="5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</row>
    <row r="199" spans="2:42" s="3" customFormat="1" x14ac:dyDescent="0.3">
      <c r="B199" s="58"/>
      <c r="D199" s="4"/>
      <c r="E199" s="4"/>
      <c r="F199" s="4"/>
      <c r="G199" s="4"/>
      <c r="H199" s="4"/>
      <c r="I199" s="4"/>
      <c r="J199" s="4"/>
      <c r="K199" s="4"/>
      <c r="L199" s="6"/>
      <c r="M199" s="4"/>
      <c r="O199" s="5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</row>
    <row r="200" spans="2:42" s="3" customFormat="1" x14ac:dyDescent="0.3">
      <c r="B200" s="58"/>
      <c r="D200" s="4"/>
      <c r="E200" s="4"/>
      <c r="F200" s="4"/>
      <c r="G200" s="4"/>
      <c r="H200" s="4"/>
      <c r="I200" s="4"/>
      <c r="J200" s="4"/>
      <c r="K200" s="4"/>
      <c r="L200" s="6"/>
      <c r="M200" s="4"/>
      <c r="O200" s="5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</row>
    <row r="201" spans="2:42" s="3" customFormat="1" x14ac:dyDescent="0.3">
      <c r="B201" s="58"/>
      <c r="D201" s="4"/>
      <c r="E201" s="4"/>
      <c r="F201" s="4"/>
      <c r="G201" s="4"/>
      <c r="H201" s="4"/>
      <c r="I201" s="4"/>
      <c r="J201" s="4"/>
      <c r="K201" s="4"/>
      <c r="L201" s="6"/>
      <c r="M201" s="4"/>
      <c r="O201" s="5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</row>
    <row r="202" spans="2:42" s="3" customFormat="1" x14ac:dyDescent="0.3">
      <c r="B202" s="58"/>
      <c r="D202" s="4"/>
      <c r="E202" s="4"/>
      <c r="F202" s="4"/>
      <c r="G202" s="4"/>
      <c r="H202" s="4"/>
      <c r="I202" s="4"/>
      <c r="J202" s="4"/>
      <c r="K202" s="4"/>
      <c r="L202" s="6"/>
      <c r="M202" s="4"/>
      <c r="O202" s="5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</row>
    <row r="203" spans="2:42" s="3" customFormat="1" x14ac:dyDescent="0.3">
      <c r="B203" s="58"/>
      <c r="D203" s="4"/>
      <c r="E203" s="4"/>
      <c r="F203" s="4"/>
      <c r="G203" s="4"/>
      <c r="H203" s="4"/>
      <c r="I203" s="4"/>
      <c r="J203" s="4"/>
      <c r="K203" s="4"/>
      <c r="L203" s="6"/>
      <c r="M203" s="4"/>
      <c r="O203" s="5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</row>
    <row r="204" spans="2:42" s="3" customFormat="1" x14ac:dyDescent="0.3">
      <c r="B204" s="58"/>
      <c r="D204" s="4"/>
      <c r="E204" s="4"/>
      <c r="F204" s="4"/>
      <c r="G204" s="4"/>
      <c r="H204" s="4"/>
      <c r="I204" s="4"/>
      <c r="J204" s="4"/>
      <c r="K204" s="4"/>
      <c r="L204" s="6"/>
      <c r="M204" s="4"/>
      <c r="O204" s="5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</row>
    <row r="205" spans="2:42" s="3" customFormat="1" x14ac:dyDescent="0.3">
      <c r="B205" s="58"/>
      <c r="D205" s="4"/>
      <c r="E205" s="4"/>
      <c r="F205" s="4"/>
      <c r="G205" s="4"/>
      <c r="H205" s="4"/>
      <c r="I205" s="4"/>
      <c r="J205" s="4"/>
      <c r="K205" s="4"/>
      <c r="L205" s="6"/>
      <c r="M205" s="4"/>
      <c r="O205" s="5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</row>
    <row r="206" spans="2:42" s="3" customFormat="1" x14ac:dyDescent="0.3">
      <c r="B206" s="58"/>
      <c r="D206" s="4"/>
      <c r="E206" s="4"/>
      <c r="F206" s="4"/>
      <c r="G206" s="4"/>
      <c r="H206" s="4"/>
      <c r="I206" s="4"/>
      <c r="J206" s="4"/>
      <c r="K206" s="4"/>
      <c r="L206" s="6"/>
      <c r="M206" s="4"/>
      <c r="O206" s="5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</row>
    <row r="207" spans="2:42" s="3" customFormat="1" x14ac:dyDescent="0.3">
      <c r="B207" s="58"/>
      <c r="D207" s="4"/>
      <c r="E207" s="4"/>
      <c r="F207" s="4"/>
      <c r="G207" s="4"/>
      <c r="H207" s="4"/>
      <c r="I207" s="4"/>
      <c r="J207" s="4"/>
      <c r="K207" s="4"/>
      <c r="L207" s="6"/>
      <c r="M207" s="4"/>
      <c r="O207" s="5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</row>
    <row r="208" spans="2:42" s="3" customFormat="1" x14ac:dyDescent="0.3">
      <c r="B208" s="58"/>
      <c r="D208" s="4"/>
      <c r="E208" s="4"/>
      <c r="F208" s="4"/>
      <c r="G208" s="4"/>
      <c r="H208" s="4"/>
      <c r="I208" s="4"/>
      <c r="J208" s="4"/>
      <c r="K208" s="4"/>
      <c r="L208" s="6"/>
      <c r="M208" s="4"/>
      <c r="O208" s="5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</row>
    <row r="209" spans="1:42" s="3" customFormat="1" x14ac:dyDescent="0.3">
      <c r="B209" s="58"/>
      <c r="D209" s="4"/>
      <c r="E209" s="4"/>
      <c r="F209" s="4"/>
      <c r="G209" s="4"/>
      <c r="H209" s="4"/>
      <c r="I209" s="4"/>
      <c r="J209" s="4"/>
      <c r="K209" s="4"/>
      <c r="L209" s="6"/>
      <c r="M209" s="4"/>
      <c r="O209" s="5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</row>
    <row r="210" spans="1:42" s="3" customFormat="1" x14ac:dyDescent="0.3">
      <c r="B210" s="58"/>
      <c r="D210" s="4"/>
      <c r="E210" s="4"/>
      <c r="F210" s="4"/>
      <c r="G210" s="4"/>
      <c r="H210" s="4"/>
      <c r="I210" s="4"/>
      <c r="J210" s="4"/>
      <c r="K210" s="4"/>
      <c r="L210" s="6"/>
      <c r="M210" s="4"/>
      <c r="O210" s="5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</row>
    <row r="211" spans="1:42" s="3" customFormat="1" x14ac:dyDescent="0.3">
      <c r="B211" s="58"/>
      <c r="D211" s="4"/>
      <c r="E211" s="4"/>
      <c r="F211" s="4"/>
      <c r="G211" s="4"/>
      <c r="H211" s="4"/>
      <c r="I211" s="4"/>
      <c r="J211" s="4"/>
      <c r="K211" s="4"/>
      <c r="L211" s="6"/>
      <c r="M211" s="4"/>
      <c r="O211" s="5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</row>
    <row r="212" spans="1:42" s="3" customFormat="1" x14ac:dyDescent="0.3">
      <c r="B212" s="58"/>
      <c r="D212" s="4"/>
      <c r="E212" s="4"/>
      <c r="F212" s="4"/>
      <c r="G212" s="4"/>
      <c r="H212" s="4"/>
      <c r="I212" s="4"/>
      <c r="J212" s="4"/>
      <c r="K212" s="4"/>
      <c r="L212" s="6"/>
      <c r="M212" s="4"/>
      <c r="O212" s="5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</row>
    <row r="213" spans="1:42" x14ac:dyDescent="0.3">
      <c r="A213" s="3"/>
    </row>
    <row r="574" spans="1:15" s="4" customFormat="1" x14ac:dyDescent="0.3">
      <c r="A574" s="1"/>
      <c r="B574" s="1" t="s">
        <v>165</v>
      </c>
      <c r="C574" s="3"/>
      <c r="E574" s="4">
        <v>6400000</v>
      </c>
      <c r="L574" s="6"/>
      <c r="N574" s="3"/>
      <c r="O574" s="5"/>
    </row>
    <row r="575" spans="1:15" s="4" customFormat="1" x14ac:dyDescent="0.3">
      <c r="B575" s="1" t="s">
        <v>166</v>
      </c>
      <c r="C575" s="3"/>
      <c r="E575" s="4">
        <v>500000</v>
      </c>
      <c r="L575" s="6"/>
      <c r="N575" s="3"/>
      <c r="O575" s="5"/>
    </row>
    <row r="576" spans="1:15" s="4" customFormat="1" x14ac:dyDescent="0.3">
      <c r="B576" s="1"/>
      <c r="C576" s="3"/>
      <c r="L576" s="6"/>
      <c r="N576" s="3"/>
      <c r="O576" s="5"/>
    </row>
  </sheetData>
  <mergeCells count="3">
    <mergeCell ref="A64:I64"/>
    <mergeCell ref="A65:E65"/>
    <mergeCell ref="F65:L65"/>
  </mergeCells>
  <pageMargins left="0" right="0" top="0" bottom="0.98425196850393704" header="0.31496062992125984" footer="0.31496062992125984"/>
  <pageSetup scale="1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EFB91BD1DFD34EB73E464BF85D0CF9" ma:contentTypeVersion="15" ma:contentTypeDescription="Create a new document." ma:contentTypeScope="" ma:versionID="b99f62d983b776c98eb4865d74a0ed3a">
  <xsd:schema xmlns:xsd="http://www.w3.org/2001/XMLSchema" xmlns:xs="http://www.w3.org/2001/XMLSchema" xmlns:p="http://schemas.microsoft.com/office/2006/metadata/properties" xmlns:ns3="f15d4f92-6883-448a-9301-5f0c5d6de8f8" xmlns:ns4="ba4db219-86eb-4d85-868a-2ac7d9a01ea9" targetNamespace="http://schemas.microsoft.com/office/2006/metadata/properties" ma:root="true" ma:fieldsID="799ace09808ebc732fb2cf2034277346" ns3:_="" ns4:_="">
    <xsd:import namespace="f15d4f92-6883-448a-9301-5f0c5d6de8f8"/>
    <xsd:import namespace="ba4db219-86eb-4d85-868a-2ac7d9a01ea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d4f92-6883-448a-9301-5f0c5d6de8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db219-86eb-4d85-868a-2ac7d9a01ea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5d4f92-6883-448a-9301-5f0c5d6de8f8" xsi:nil="true"/>
  </documentManagement>
</p:properties>
</file>

<file path=customXml/itemProps1.xml><?xml version="1.0" encoding="utf-8"?>
<ds:datastoreItem xmlns:ds="http://schemas.openxmlformats.org/officeDocument/2006/customXml" ds:itemID="{11D392CC-0E07-4A7C-8030-0CDC3564B6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5d4f92-6883-448a-9301-5f0c5d6de8f8"/>
    <ds:schemaRef ds:uri="ba4db219-86eb-4d85-868a-2ac7d9a01e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C26993-A24E-4952-86B8-CC6CC98E2C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5F70B1-C2FE-47D3-9171-8205DFA8BFC2}">
  <ds:schemaRefs>
    <ds:schemaRef ds:uri="http://www.w3.org/XML/1998/namespace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ba4db219-86eb-4d85-868a-2ac7d9a01ea9"/>
    <ds:schemaRef ds:uri="f15d4f92-6883-448a-9301-5f0c5d6de8f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Kharris Khisunica</dc:creator>
  <cp:lastModifiedBy>Kharris Khisunica</cp:lastModifiedBy>
  <dcterms:created xsi:type="dcterms:W3CDTF">2026-08-11T10:32:44Z</dcterms:created>
  <dcterms:modified xsi:type="dcterms:W3CDTF">2026-08-11T10:48:38Z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2026-08-11T10:32:48Z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2a82e552-00ae-411e-8c00-0bcce7516b17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  <property fmtid="{D5CDD505-2E9C-101B-9397-08002B2CF9AE}" pid="10" name="ContentTypeId">
    <vt:lpwstr>0x01010010EFB91BD1DFD34EB73E464BF85D0CF9</vt:lpwstr>
  </property>
</Properties>
</file>